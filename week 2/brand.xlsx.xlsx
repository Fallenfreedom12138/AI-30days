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7月" sheetId="1" state="visible" r:id="rId1"/>
    <sheet xmlns:r="http://schemas.openxmlformats.org/officeDocument/2006/relationships" name="同比基准(2025年7月)" sheetId="2" state="visible" r:id="rId2"/>
  </sheets>
  <definedNames>
    <definedName name="_xlnm._FilterDatabase" localSheetId="0" hidden="1">'2026年7月'!$A$1:$G$268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color rgb="000000FF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pivotButton="0" quotePrefix="0" xfId="0"/>
    <xf numFmtId="165" fontId="4" fillId="3" borderId="1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 ht="24" customHeight="1">
      <c r="A1" s="1" t="inlineStr">
        <is>
          <t>品牌</t>
        </is>
      </c>
      <c r="B1" s="1" t="inlineStr">
        <is>
          <t>业态</t>
        </is>
      </c>
      <c r="C1" s="1" t="inlineStr">
        <is>
          <t>二级业态</t>
        </is>
      </c>
      <c r="D1" s="1" t="inlineStr">
        <is>
          <t>营业额</t>
        </is>
      </c>
      <c r="E1" s="1" t="inlineStr">
        <is>
          <t>营业额同比</t>
        </is>
      </c>
      <c r="F1" s="1" t="inlineStr">
        <is>
          <t>抽成</t>
        </is>
      </c>
      <c r="G1" s="1" t="inlineStr">
        <is>
          <t>抽成同比</t>
        </is>
      </c>
    </row>
    <row r="2">
      <c r="A2" s="2" t="inlineStr">
        <is>
          <t>永辉超市</t>
        </is>
      </c>
      <c r="B2" s="3" t="inlineStr">
        <is>
          <t>零售</t>
        </is>
      </c>
      <c r="C2" s="3" t="inlineStr">
        <is>
          <t>零售（超市）</t>
        </is>
      </c>
      <c r="D2" s="4" t="n">
        <v>12149000</v>
      </c>
      <c r="E2" s="5">
        <f>IF(COUNTIF('同比基准(2025年7月)'!$A:$A,A2)=0,"新增",IF(INDEX('同比基准(2025年7月)'!$B:$B,MATCH(A2,'同比基准(2025年7月)'!$A:$A,0))=0,"",(D2-INDEX('同比基准(2025年7月)'!$B:$B,MATCH(A2,'同比基准(2025年7月)'!$A:$A,0)))/INDEX('同比基准(2025年7月)'!$B:$B,MATCH(A2,'同比基准(2025年7月)'!$A:$A,0))))</f>
        <v/>
      </c>
      <c r="F2" s="4" t="n">
        <v>0</v>
      </c>
      <c r="G2" s="5">
        <f>IF(COUNTIF('同比基准(2025年7月)'!$A:$A,A2)=0,"新增",IF(INDEX('同比基准(2025年7月)'!$C:$C,MATCH(A2,'同比基准(2025年7月)'!$A:$A,0))=0,"",(F2-INDEX('同比基准(2025年7月)'!$C:$C,MATCH(A2,'同比基准(2025年7月)'!$A:$A,0)))/INDEX('同比基准(2025年7月)'!$C:$C,MATCH(A2,'同比基准(2025年7月)'!$A:$A,0))))</f>
        <v/>
      </c>
    </row>
    <row r="3">
      <c r="A3" s="2" t="inlineStr">
        <is>
          <t>周大福荟馆</t>
        </is>
      </c>
      <c r="B3" s="3" t="inlineStr">
        <is>
          <t>零售</t>
        </is>
      </c>
      <c r="C3" s="3" t="inlineStr">
        <is>
          <t>钟表/珠宝/高端笔/精品</t>
        </is>
      </c>
      <c r="D3" s="4" t="n">
        <v>3122546.6</v>
      </c>
      <c r="E3" s="5">
        <f>IF(COUNTIF('同比基准(2025年7月)'!$A:$A,A3)=0,"新增",IF(INDEX('同比基准(2025年7月)'!$B:$B,MATCH(A3,'同比基准(2025年7月)'!$A:$A,0))=0,"",(D3-INDEX('同比基准(2025年7月)'!$B:$B,MATCH(A3,'同比基准(2025年7月)'!$A:$A,0)))/INDEX('同比基准(2025年7月)'!$B:$B,MATCH(A3,'同比基准(2025年7月)'!$A:$A,0))))</f>
        <v/>
      </c>
      <c r="F3" s="4" t="n">
        <v>0</v>
      </c>
      <c r="G3" s="5">
        <f>IF(COUNTIF('同比基准(2025年7月)'!$A:$A,A3)=0,"新增",IF(INDEX('同比基准(2025年7月)'!$C:$C,MATCH(A3,'同比基准(2025年7月)'!$A:$A,0))=0,"",(F3-INDEX('同比基准(2025年7月)'!$C:$C,MATCH(A3,'同比基准(2025年7月)'!$A:$A,0)))/INDEX('同比基准(2025年7月)'!$C:$C,MATCH(A3,'同比基准(2025年7月)'!$A:$A,0))))</f>
        <v/>
      </c>
    </row>
    <row r="4">
      <c r="A4" s="2" t="inlineStr">
        <is>
          <t>华为</t>
        </is>
      </c>
      <c r="B4" s="3" t="inlineStr">
        <is>
          <t>零售</t>
        </is>
      </c>
      <c r="C4" s="3" t="inlineStr">
        <is>
          <t>数码电器</t>
        </is>
      </c>
      <c r="D4" s="4" t="n">
        <v>2483634</v>
      </c>
      <c r="E4" s="5">
        <f>IF(COUNTIF('同比基准(2025年7月)'!$A:$A,A4)=0,"新增",IF(INDEX('同比基准(2025年7月)'!$B:$B,MATCH(A4,'同比基准(2025年7月)'!$A:$A,0))=0,"",(D4-INDEX('同比基准(2025年7月)'!$B:$B,MATCH(A4,'同比基准(2025年7月)'!$A:$A,0)))/INDEX('同比基准(2025年7月)'!$B:$B,MATCH(A4,'同比基准(2025年7月)'!$A:$A,0))))</f>
        <v/>
      </c>
      <c r="F4" s="4" t="n">
        <v>0</v>
      </c>
      <c r="G4" s="5">
        <f>IF(COUNTIF('同比基准(2025年7月)'!$A:$A,A4)=0,"新增",IF(INDEX('同比基准(2025年7月)'!$C:$C,MATCH(A4,'同比基准(2025年7月)'!$A:$A,0))=0,"",(F4-INDEX('同比基准(2025年7月)'!$C:$C,MATCH(A4,'同比基准(2025年7月)'!$A:$A,0)))/INDEX('同比基准(2025年7月)'!$C:$C,MATCH(A4,'同比基准(2025年7月)'!$A:$A,0))))</f>
        <v/>
      </c>
    </row>
    <row r="5">
      <c r="A5" s="2" t="inlineStr">
        <is>
          <t>优衣库(UNIQLO)</t>
        </is>
      </c>
      <c r="B5" s="3" t="inlineStr">
        <is>
          <t>零售</t>
        </is>
      </c>
      <c r="C5" s="3" t="inlineStr">
        <is>
          <t>服装服饰</t>
        </is>
      </c>
      <c r="D5" s="4" t="n">
        <v>2225652</v>
      </c>
      <c r="E5" s="5">
        <f>IF(COUNTIF('同比基准(2025年7月)'!$A:$A,A5)=0,"新增",IF(INDEX('同比基准(2025年7月)'!$B:$B,MATCH(A5,'同比基准(2025年7月)'!$A:$A,0))=0,"",(D5-INDEX('同比基准(2025年7月)'!$B:$B,MATCH(A5,'同比基准(2025年7月)'!$A:$A,0)))/INDEX('同比基准(2025年7月)'!$B:$B,MATCH(A5,'同比基准(2025年7月)'!$A:$A,0))))</f>
        <v/>
      </c>
      <c r="F5" s="4" t="n">
        <v>108333.61</v>
      </c>
      <c r="G5" s="5">
        <f>IF(COUNTIF('同比基准(2025年7月)'!$A:$A,A5)=0,"新增",IF(INDEX('同比基准(2025年7月)'!$C:$C,MATCH(A5,'同比基准(2025年7月)'!$A:$A,0))=0,"",(F5-INDEX('同比基准(2025年7月)'!$C:$C,MATCH(A5,'同比基准(2025年7月)'!$A:$A,0)))/INDEX('同比基准(2025年7月)'!$C:$C,MATCH(A5,'同比基准(2025年7月)'!$A:$A,0))))</f>
        <v/>
      </c>
    </row>
    <row r="6">
      <c r="A6" s="2" t="inlineStr">
        <is>
          <t>谢瑞麟</t>
        </is>
      </c>
      <c r="B6" s="3" t="inlineStr">
        <is>
          <t>零售</t>
        </is>
      </c>
      <c r="C6" s="3" t="inlineStr">
        <is>
          <t>钟表/珠宝/高端笔/精品</t>
        </is>
      </c>
      <c r="D6" s="4" t="n">
        <v>2086317.3</v>
      </c>
      <c r="E6" s="5">
        <f>IF(COUNTIF('同比基准(2025年7月)'!$A:$A,A6)=0,"新增",IF(INDEX('同比基准(2025年7月)'!$B:$B,MATCH(A6,'同比基准(2025年7月)'!$A:$A,0))=0,"",(D6-INDEX('同比基准(2025年7月)'!$B:$B,MATCH(A6,'同比基准(2025年7月)'!$A:$A,0)))/INDEX('同比基准(2025年7月)'!$B:$B,MATCH(A6,'同比基准(2025年7月)'!$A:$A,0))))</f>
        <v/>
      </c>
      <c r="F6" s="4" t="n">
        <v>23702.47</v>
      </c>
      <c r="G6" s="5">
        <f>IF(COUNTIF('同比基准(2025年7月)'!$A:$A,A6)=0,"新增",IF(INDEX('同比基准(2025年7月)'!$C:$C,MATCH(A6,'同比基准(2025年7月)'!$A:$A,0))=0,"",(F6-INDEX('同比基准(2025年7月)'!$C:$C,MATCH(A6,'同比基准(2025年7月)'!$A:$A,0)))/INDEX('同比基准(2025年7月)'!$C:$C,MATCH(A6,'同比基准(2025年7月)'!$A:$A,0))))</f>
        <v/>
      </c>
    </row>
    <row r="7">
      <c r="A7" s="2" t="inlineStr">
        <is>
          <t>爱回收</t>
        </is>
      </c>
      <c r="B7" s="3" t="inlineStr">
        <is>
          <t>服务</t>
        </is>
      </c>
      <c r="C7" s="3" t="inlineStr">
        <is>
          <t>配套设施</t>
        </is>
      </c>
      <c r="D7" s="4" t="n">
        <v>1703852.46</v>
      </c>
      <c r="E7" s="5">
        <f>IF(COUNTIF('同比基准(2025年7月)'!$A:$A,A7)=0,"新增",IF(INDEX('同比基准(2025年7月)'!$B:$B,MATCH(A7,'同比基准(2025年7月)'!$A:$A,0))=0,"",(D7-INDEX('同比基准(2025年7月)'!$B:$B,MATCH(A7,'同比基准(2025年7月)'!$A:$A,0)))/INDEX('同比基准(2025年7月)'!$B:$B,MATCH(A7,'同比基准(2025年7月)'!$A:$A,0))))</f>
        <v/>
      </c>
      <c r="F7" s="4" t="n">
        <v>3785.63</v>
      </c>
      <c r="G7" s="5">
        <f>IF(COUNTIF('同比基准(2025年7月)'!$A:$A,A7)=0,"新增",IF(INDEX('同比基准(2025年7月)'!$C:$C,MATCH(A7,'同比基准(2025年7月)'!$A:$A,0))=0,"",(F7-INDEX('同比基准(2025年7月)'!$C:$C,MATCH(A7,'同比基准(2025年7月)'!$A:$A,0)))/INDEX('同比基准(2025年7月)'!$C:$C,MATCH(A7,'同比基准(2025年7月)'!$A:$A,0))))</f>
        <v/>
      </c>
    </row>
    <row r="8">
      <c r="A8" s="2" t="inlineStr">
        <is>
          <t>一绪に寿喜烧</t>
        </is>
      </c>
      <c r="B8" s="3" t="inlineStr">
        <is>
          <t>餐饮</t>
        </is>
      </c>
      <c r="C8" s="3" t="inlineStr">
        <is>
          <t>特色餐饮</t>
        </is>
      </c>
      <c r="D8" s="4" t="n">
        <v>1682263.36</v>
      </c>
      <c r="E8" s="5">
        <f>IF(COUNTIF('同比基准(2025年7月)'!$A:$A,A8)=0,"新增",IF(INDEX('同比基准(2025年7月)'!$B:$B,MATCH(A8,'同比基准(2025年7月)'!$A:$A,0))=0,"",(D8-INDEX('同比基准(2025年7月)'!$B:$B,MATCH(A8,'同比基准(2025年7月)'!$A:$A,0)))/INDEX('同比基准(2025年7月)'!$B:$B,MATCH(A8,'同比基准(2025年7月)'!$A:$A,0))))</f>
        <v/>
      </c>
      <c r="F8" s="4" t="n">
        <v>0</v>
      </c>
      <c r="G8" s="5">
        <f>IF(COUNTIF('同比基准(2025年7月)'!$A:$A,A8)=0,"新增",IF(INDEX('同比基准(2025年7月)'!$C:$C,MATCH(A8,'同比基准(2025年7月)'!$A:$A,0))=0,"",(F8-INDEX('同比基准(2025年7月)'!$C:$C,MATCH(A8,'同比基准(2025年7月)'!$A:$A,0)))/INDEX('同比基准(2025年7月)'!$C:$C,MATCH(A8,'同比基准(2025年7月)'!$A:$A,0))))</f>
        <v/>
      </c>
    </row>
    <row r="9">
      <c r="A9" s="2" t="inlineStr">
        <is>
          <t>新发现</t>
        </is>
      </c>
      <c r="B9" s="3" t="inlineStr">
        <is>
          <t>餐饮</t>
        </is>
      </c>
      <c r="C9" s="3" t="inlineStr">
        <is>
          <t>特色餐饮</t>
        </is>
      </c>
      <c r="D9" s="4" t="n">
        <v>1485239.21</v>
      </c>
      <c r="E9" s="5">
        <f>IF(COUNTIF('同比基准(2025年7月)'!$A:$A,A9)=0,"新增",IF(INDEX('同比基准(2025年7月)'!$B:$B,MATCH(A9,'同比基准(2025年7月)'!$A:$A,0))=0,"",(D9-INDEX('同比基准(2025年7月)'!$B:$B,MATCH(A9,'同比基准(2025年7月)'!$A:$A,0)))/INDEX('同比基准(2025年7月)'!$B:$B,MATCH(A9,'同比基准(2025年7月)'!$A:$A,0))))</f>
        <v/>
      </c>
      <c r="F9" s="4" t="n">
        <v>22696.07</v>
      </c>
      <c r="G9" s="5">
        <f>IF(COUNTIF('同比基准(2025年7月)'!$A:$A,A9)=0,"新增",IF(INDEX('同比基准(2025年7月)'!$C:$C,MATCH(A9,'同比基准(2025年7月)'!$A:$A,0))=0,"",(F9-INDEX('同比基准(2025年7月)'!$C:$C,MATCH(A9,'同比基准(2025年7月)'!$A:$A,0)))/INDEX('同比基准(2025年7月)'!$C:$C,MATCH(A9,'同比基准(2025年7月)'!$A:$A,0))))</f>
        <v/>
      </c>
    </row>
    <row r="10">
      <c r="A10" s="2" t="inlineStr">
        <is>
          <t>钱炙</t>
        </is>
      </c>
      <c r="B10" s="3" t="inlineStr">
        <is>
          <t>餐饮</t>
        </is>
      </c>
      <c r="C10" s="3" t="inlineStr">
        <is>
          <t>特色餐饮</t>
        </is>
      </c>
      <c r="D10" s="4" t="n">
        <v>1423754.81</v>
      </c>
      <c r="E10" s="5">
        <f>IF(COUNTIF('同比基准(2025年7月)'!$A:$A,A10)=0,"新增",IF(INDEX('同比基准(2025年7月)'!$B:$B,MATCH(A10,'同比基准(2025年7月)'!$A:$A,0))=0,"",(D10-INDEX('同比基准(2025年7月)'!$B:$B,MATCH(A10,'同比基准(2025年7月)'!$A:$A,0)))/INDEX('同比基准(2025年7月)'!$B:$B,MATCH(A10,'同比基准(2025年7月)'!$A:$A,0))))</f>
        <v/>
      </c>
      <c r="F10" s="4" t="n">
        <v>0</v>
      </c>
      <c r="G10" s="5">
        <f>IF(COUNTIF('同比基准(2025年7月)'!$A:$A,A10)=0,"新增",IF(INDEX('同比基准(2025年7月)'!$C:$C,MATCH(A10,'同比基准(2025年7月)'!$A:$A,0))=0,"",(F10-INDEX('同比基准(2025年7月)'!$C:$C,MATCH(A10,'同比基准(2025年7月)'!$A:$A,0)))/INDEX('同比基准(2025年7月)'!$C:$C,MATCH(A10,'同比基准(2025年7月)'!$A:$A,0))))</f>
        <v/>
      </c>
    </row>
    <row r="11">
      <c r="A11" s="2" t="inlineStr">
        <is>
          <t>山缓缓</t>
        </is>
      </c>
      <c r="B11" s="3" t="inlineStr">
        <is>
          <t>餐饮</t>
        </is>
      </c>
      <c r="C11" s="3" t="inlineStr">
        <is>
          <t>特色餐饮</t>
        </is>
      </c>
      <c r="D11" s="4" t="n">
        <v>1365235.82</v>
      </c>
      <c r="E11" s="5">
        <f>IF(COUNTIF('同比基准(2025年7月)'!$A:$A,A11)=0,"新增",IF(INDEX('同比基准(2025年7月)'!$B:$B,MATCH(A11,'同比基准(2025年7月)'!$A:$A,0))=0,"",(D11-INDEX('同比基准(2025年7月)'!$B:$B,MATCH(A11,'同比基准(2025年7月)'!$A:$A,0)))/INDEX('同比基准(2025年7月)'!$B:$B,MATCH(A11,'同比基准(2025年7月)'!$A:$A,0))))</f>
        <v/>
      </c>
      <c r="F11" s="4" t="n">
        <v>0</v>
      </c>
      <c r="G11" s="5">
        <f>IF(COUNTIF('同比基准(2025年7月)'!$A:$A,A11)=0,"新增",IF(INDEX('同比基准(2025年7月)'!$C:$C,MATCH(A11,'同比基准(2025年7月)'!$A:$A,0))=0,"",(F11-INDEX('同比基准(2025年7月)'!$C:$C,MATCH(A11,'同比基准(2025年7月)'!$A:$A,0)))/INDEX('同比基准(2025年7月)'!$C:$C,MATCH(A11,'同比基准(2025年7月)'!$A:$A,0))))</f>
        <v/>
      </c>
    </row>
    <row r="12">
      <c r="A12" s="2" t="inlineStr">
        <is>
          <t>大疆</t>
        </is>
      </c>
      <c r="B12" s="3" t="inlineStr">
        <is>
          <t>零售</t>
        </is>
      </c>
      <c r="C12" s="3" t="inlineStr">
        <is>
          <t>数码电器</t>
        </is>
      </c>
      <c r="D12" s="4" t="n">
        <v>1309527</v>
      </c>
      <c r="E12" s="5">
        <f>IF(COUNTIF('同比基准(2025年7月)'!$A:$A,A12)=0,"新增",IF(INDEX('同比基准(2025年7月)'!$B:$B,MATCH(A12,'同比基准(2025年7月)'!$A:$A,0))=0,"",(D12-INDEX('同比基准(2025年7月)'!$B:$B,MATCH(A12,'同比基准(2025年7月)'!$A:$A,0)))/INDEX('同比基准(2025年7月)'!$B:$B,MATCH(A12,'同比基准(2025年7月)'!$A:$A,0))))</f>
        <v/>
      </c>
      <c r="F12" s="4" t="n">
        <v>33702.3</v>
      </c>
      <c r="G12" s="5">
        <f>IF(COUNTIF('同比基准(2025年7月)'!$A:$A,A12)=0,"新增",IF(INDEX('同比基准(2025年7月)'!$C:$C,MATCH(A12,'同比基准(2025年7月)'!$A:$A,0))=0,"",(F12-INDEX('同比基准(2025年7月)'!$C:$C,MATCH(A12,'同比基准(2025年7月)'!$A:$A,0)))/INDEX('同比基准(2025年7月)'!$C:$C,MATCH(A12,'同比基准(2025年7月)'!$A:$A,0))))</f>
        <v/>
      </c>
    </row>
    <row r="13">
      <c r="A13" s="2" t="inlineStr">
        <is>
          <t>源氏木语</t>
        </is>
      </c>
      <c r="B13" s="3" t="inlineStr">
        <is>
          <t>家居</t>
        </is>
      </c>
      <c r="C13" s="3" t="inlineStr">
        <is>
          <t>家居零售</t>
        </is>
      </c>
      <c r="D13" s="4" t="n">
        <v>1303263.69</v>
      </c>
      <c r="E13" s="5">
        <f>IF(COUNTIF('同比基准(2025年7月)'!$A:$A,A13)=0,"新增",IF(INDEX('同比基准(2025年7月)'!$B:$B,MATCH(A13,'同比基准(2025年7月)'!$A:$A,0))=0,"",(D13-INDEX('同比基准(2025年7月)'!$B:$B,MATCH(A13,'同比基准(2025年7月)'!$A:$A,0)))/INDEX('同比基准(2025年7月)'!$B:$B,MATCH(A13,'同比基准(2025年7月)'!$A:$A,0))))</f>
        <v/>
      </c>
      <c r="F13" s="4" t="n">
        <v>827.21</v>
      </c>
      <c r="G13" s="5">
        <f>IF(COUNTIF('同比基准(2025年7月)'!$A:$A,A13)=0,"新增",IF(INDEX('同比基准(2025年7月)'!$C:$C,MATCH(A13,'同比基准(2025年7月)'!$A:$A,0))=0,"",(F13-INDEX('同比基准(2025年7月)'!$C:$C,MATCH(A13,'同比基准(2025年7月)'!$A:$A,0)))/INDEX('同比基准(2025年7月)'!$C:$C,MATCH(A13,'同比基准(2025年7月)'!$A:$A,0))))</f>
        <v/>
      </c>
    </row>
    <row r="14">
      <c r="A14" s="2" t="inlineStr">
        <is>
          <t>几勺</t>
        </is>
      </c>
      <c r="B14" s="3" t="inlineStr">
        <is>
          <t>餐饮</t>
        </is>
      </c>
      <c r="C14" s="3" t="inlineStr">
        <is>
          <t>特色餐饮</t>
        </is>
      </c>
      <c r="D14" s="4" t="n">
        <v>1293398.55</v>
      </c>
      <c r="E14" s="5">
        <f>IF(COUNTIF('同比基准(2025年7月)'!$A:$A,A14)=0,"新增",IF(INDEX('同比基准(2025年7月)'!$B:$B,MATCH(A14,'同比基准(2025年7月)'!$A:$A,0))=0,"",(D14-INDEX('同比基准(2025年7月)'!$B:$B,MATCH(A14,'同比基准(2025年7月)'!$A:$A,0)))/INDEX('同比基准(2025年7月)'!$B:$B,MATCH(A14,'同比基准(2025年7月)'!$A:$A,0))))</f>
        <v/>
      </c>
      <c r="F14" s="4" t="n">
        <v>48339.47</v>
      </c>
      <c r="G14" s="5">
        <f>IF(COUNTIF('同比基准(2025年7月)'!$A:$A,A14)=0,"新增",IF(INDEX('同比基准(2025年7月)'!$C:$C,MATCH(A14,'同比基准(2025年7月)'!$A:$A,0))=0,"",(F14-INDEX('同比基准(2025年7月)'!$C:$C,MATCH(A14,'同比基准(2025年7月)'!$A:$A,0)))/INDEX('同比基准(2025年7月)'!$C:$C,MATCH(A14,'同比基准(2025年7月)'!$A:$A,0))))</f>
        <v/>
      </c>
    </row>
    <row r="15">
      <c r="A15" s="2" t="inlineStr">
        <is>
          <t>费大厨</t>
        </is>
      </c>
      <c r="B15" s="3" t="inlineStr">
        <is>
          <t>餐饮</t>
        </is>
      </c>
      <c r="C15" s="3" t="inlineStr">
        <is>
          <t>特色餐饮</t>
        </is>
      </c>
      <c r="D15" s="4" t="n">
        <v>1258896.4</v>
      </c>
      <c r="E15" s="5">
        <f>IF(COUNTIF('同比基准(2025年7月)'!$A:$A,A15)=0,"新增",IF(INDEX('同比基准(2025年7月)'!$B:$B,MATCH(A15,'同比基准(2025年7月)'!$A:$A,0))=0,"",(D15-INDEX('同比基准(2025年7月)'!$B:$B,MATCH(A15,'同比基准(2025年7月)'!$A:$A,0)))/INDEX('同比基准(2025年7月)'!$B:$B,MATCH(A15,'同比基准(2025年7月)'!$A:$A,0))))</f>
        <v/>
      </c>
      <c r="F15" s="4" t="n">
        <v>0</v>
      </c>
      <c r="G15" s="5">
        <f>IF(COUNTIF('同比基准(2025年7月)'!$A:$A,A15)=0,"新增",IF(INDEX('同比基准(2025年7月)'!$C:$C,MATCH(A15,'同比基准(2025年7月)'!$A:$A,0))=0,"",(F15-INDEX('同比基准(2025年7月)'!$C:$C,MATCH(A15,'同比基准(2025年7月)'!$A:$A,0)))/INDEX('同比基准(2025年7月)'!$C:$C,MATCH(A15,'同比基准(2025年7月)'!$A:$A,0))))</f>
        <v/>
      </c>
    </row>
    <row r="16">
      <c r="A16" s="2" t="inlineStr">
        <is>
          <t>无印良品</t>
        </is>
      </c>
      <c r="B16" s="3" t="inlineStr">
        <is>
          <t>零售</t>
        </is>
      </c>
      <c r="C16" s="3" t="inlineStr">
        <is>
          <t>服装服饰</t>
        </is>
      </c>
      <c r="D16" s="4" t="n">
        <v>1231644.23</v>
      </c>
      <c r="E16" s="5">
        <f>IF(COUNTIF('同比基准(2025年7月)'!$A:$A,A16)=0,"新增",IF(INDEX('同比基准(2025年7月)'!$B:$B,MATCH(A16,'同比基准(2025年7月)'!$A:$A,0))=0,"",(D16-INDEX('同比基准(2025年7月)'!$B:$B,MATCH(A16,'同比基准(2025年7月)'!$A:$A,0)))/INDEX('同比基准(2025年7月)'!$B:$B,MATCH(A16,'同比基准(2025年7月)'!$A:$A,0))))</f>
        <v/>
      </c>
      <c r="F16" s="4" t="n">
        <v>80475.63</v>
      </c>
      <c r="G16" s="5">
        <f>IF(COUNTIF('同比基准(2025年7月)'!$A:$A,A16)=0,"新增",IF(INDEX('同比基准(2025年7月)'!$C:$C,MATCH(A16,'同比基准(2025年7月)'!$A:$A,0))=0,"",(F16-INDEX('同比基准(2025年7月)'!$C:$C,MATCH(A16,'同比基准(2025年7月)'!$A:$A,0)))/INDEX('同比基准(2025年7月)'!$C:$C,MATCH(A16,'同比基准(2025年7月)'!$A:$A,0))))</f>
        <v/>
      </c>
    </row>
    <row r="17">
      <c r="A17" s="2" t="inlineStr">
        <is>
          <t>小米之家</t>
        </is>
      </c>
      <c r="B17" s="3" t="inlineStr">
        <is>
          <t>零售</t>
        </is>
      </c>
      <c r="C17" s="3" t="inlineStr">
        <is>
          <t>数码电器</t>
        </is>
      </c>
      <c r="D17" s="4" t="n">
        <v>1226025.39</v>
      </c>
      <c r="E17" s="5">
        <f>IF(COUNTIF('同比基准(2025年7月)'!$A:$A,A17)=0,"新增",IF(INDEX('同比基准(2025年7月)'!$B:$B,MATCH(A17,'同比基准(2025年7月)'!$A:$A,0))=0,"",(D17-INDEX('同比基准(2025年7月)'!$B:$B,MATCH(A17,'同比基准(2025年7月)'!$A:$A,0)))/INDEX('同比基准(2025年7月)'!$B:$B,MATCH(A17,'同比基准(2025年7月)'!$A:$A,0))))</f>
        <v/>
      </c>
      <c r="F17" s="4" t="n">
        <v>0</v>
      </c>
      <c r="G17" s="5">
        <f>IF(COUNTIF('同比基准(2025年7月)'!$A:$A,A17)=0,"新增",IF(INDEX('同比基准(2025年7月)'!$C:$C,MATCH(A17,'同比基准(2025年7月)'!$A:$A,0))=0,"",(F17-INDEX('同比基准(2025年7月)'!$C:$C,MATCH(A17,'同比基准(2025年7月)'!$A:$A,0)))/INDEX('同比基准(2025年7月)'!$C:$C,MATCH(A17,'同比基准(2025年7月)'!$A:$A,0))))</f>
        <v/>
      </c>
    </row>
    <row r="18">
      <c r="A18" s="2" t="inlineStr">
        <is>
          <t>转转</t>
        </is>
      </c>
      <c r="B18" s="3" t="inlineStr">
        <is>
          <t>零售</t>
        </is>
      </c>
      <c r="C18" s="3" t="inlineStr">
        <is>
          <t>数码电器</t>
        </is>
      </c>
      <c r="D18" s="4" t="n">
        <v>1182145</v>
      </c>
      <c r="E18" s="5">
        <f>IF(COUNTIF('同比基准(2025年7月)'!$A:$A,A18)=0,"新增",IF(INDEX('同比基准(2025年7月)'!$B:$B,MATCH(A18,'同比基准(2025年7月)'!$A:$A,0))=0,"",(D18-INDEX('同比基准(2025年7月)'!$B:$B,MATCH(A18,'同比基准(2025年7月)'!$A:$A,0)))/INDEX('同比基准(2025年7月)'!$B:$B,MATCH(A18,'同比基准(2025年7月)'!$A:$A,0))))</f>
        <v/>
      </c>
      <c r="F18" s="4" t="n">
        <v>0</v>
      </c>
      <c r="G18" s="5">
        <f>IF(COUNTIF('同比基准(2025年7月)'!$A:$A,A18)=0,"新增",IF(INDEX('同比基准(2025年7月)'!$C:$C,MATCH(A18,'同比基准(2025年7月)'!$A:$A,0))=0,"",(F18-INDEX('同比基准(2025年7月)'!$C:$C,MATCH(A18,'同比基准(2025年7月)'!$A:$A,0)))/INDEX('同比基准(2025年7月)'!$C:$C,MATCH(A18,'同比基准(2025年7月)'!$A:$A,0))))</f>
        <v/>
      </c>
    </row>
    <row r="19">
      <c r="A19" s="2" t="inlineStr">
        <is>
          <t>左庭右院</t>
        </is>
      </c>
      <c r="B19" s="3" t="inlineStr">
        <is>
          <t>餐饮</t>
        </is>
      </c>
      <c r="C19" s="3" t="inlineStr">
        <is>
          <t>特色餐饮</t>
        </is>
      </c>
      <c r="D19" s="4" t="n">
        <v>1147928.97</v>
      </c>
      <c r="E19" s="5">
        <f>IF(COUNTIF('同比基准(2025年7月)'!$A:$A,A19)=0,"新增",IF(INDEX('同比基准(2025年7月)'!$B:$B,MATCH(A19,'同比基准(2025年7月)'!$A:$A,0))=0,"",(D19-INDEX('同比基准(2025年7月)'!$B:$B,MATCH(A19,'同比基准(2025年7月)'!$A:$A,0)))/INDEX('同比基准(2025年7月)'!$B:$B,MATCH(A19,'同比基准(2025年7月)'!$A:$A,0))))</f>
        <v/>
      </c>
      <c r="F19" s="4" t="n">
        <v>44055.91</v>
      </c>
      <c r="G19" s="5">
        <f>IF(COUNTIF('同比基准(2025年7月)'!$A:$A,A19)=0,"新增",IF(INDEX('同比基准(2025年7月)'!$C:$C,MATCH(A19,'同比基准(2025年7月)'!$A:$A,0))=0,"",(F19-INDEX('同比基准(2025年7月)'!$C:$C,MATCH(A19,'同比基准(2025年7月)'!$A:$A,0)))/INDEX('同比基准(2025年7月)'!$C:$C,MATCH(A19,'同比基准(2025年7月)'!$A:$A,0))))</f>
        <v/>
      </c>
    </row>
    <row r="20">
      <c r="A20" s="2" t="inlineStr">
        <is>
          <t>幸福蓝海(OMNIJOI)</t>
        </is>
      </c>
      <c r="B20" s="3" t="inlineStr">
        <is>
          <t>娱乐</t>
        </is>
      </c>
      <c r="C20" s="3" t="inlineStr">
        <is>
          <t>娱乐（影院）</t>
        </is>
      </c>
      <c r="D20" s="4" t="n">
        <v>1108272.67</v>
      </c>
      <c r="E20" s="5">
        <f>IF(COUNTIF('同比基准(2025年7月)'!$A:$A,A20)=0,"新增",IF(INDEX('同比基准(2025年7月)'!$B:$B,MATCH(A20,'同比基准(2025年7月)'!$A:$A,0))=0,"",(D20-INDEX('同比基准(2025年7月)'!$B:$B,MATCH(A20,'同比基准(2025年7月)'!$A:$A,0)))/INDEX('同比基准(2025年7月)'!$B:$B,MATCH(A20,'同比基准(2025年7月)'!$A:$A,0))))</f>
        <v/>
      </c>
      <c r="F20" s="4" t="n">
        <v>0</v>
      </c>
      <c r="G20" s="5">
        <f>IF(COUNTIF('同比基准(2025年7月)'!$A:$A,A20)=0,"新增",IF(INDEX('同比基准(2025年7月)'!$C:$C,MATCH(A20,'同比基准(2025年7月)'!$A:$A,0))=0,"",(F20-INDEX('同比基准(2025年7月)'!$C:$C,MATCH(A20,'同比基准(2025年7月)'!$A:$A,0)))/INDEX('同比基准(2025年7月)'!$C:$C,MATCH(A20,'同比基准(2025年7月)'!$A:$A,0))))</f>
        <v/>
      </c>
    </row>
    <row r="21">
      <c r="A21" s="2" t="inlineStr">
        <is>
          <t>西塔老太太(xitalaotaitai)</t>
        </is>
      </c>
      <c r="B21" s="3" t="inlineStr">
        <is>
          <t>餐饮</t>
        </is>
      </c>
      <c r="C21" s="3" t="inlineStr">
        <is>
          <t>特色餐饮</t>
        </is>
      </c>
      <c r="D21" s="4" t="n">
        <v>1107248.5</v>
      </c>
      <c r="E21" s="5">
        <f>IF(COUNTIF('同比基准(2025年7月)'!$A:$A,A21)=0,"新增",IF(INDEX('同比基准(2025年7月)'!$B:$B,MATCH(A21,'同比基准(2025年7月)'!$A:$A,0))=0,"",(D21-INDEX('同比基准(2025年7月)'!$B:$B,MATCH(A21,'同比基准(2025年7月)'!$A:$A,0)))/INDEX('同比基准(2025年7月)'!$B:$B,MATCH(A21,'同比基准(2025年7月)'!$A:$A,0))))</f>
        <v/>
      </c>
      <c r="F21" s="4" t="n">
        <v>0</v>
      </c>
      <c r="G21" s="5">
        <f>IF(COUNTIF('同比基准(2025年7月)'!$A:$A,A21)=0,"新增",IF(INDEX('同比基准(2025年7月)'!$C:$C,MATCH(A21,'同比基准(2025年7月)'!$A:$A,0))=0,"",(F21-INDEX('同比基准(2025年7月)'!$C:$C,MATCH(A21,'同比基准(2025年7月)'!$A:$A,0)))/INDEX('同比基准(2025年7月)'!$C:$C,MATCH(A21,'同比基准(2025年7月)'!$A:$A,0))))</f>
        <v/>
      </c>
    </row>
    <row r="22">
      <c r="A22" s="2" t="inlineStr">
        <is>
          <t>亚一</t>
        </is>
      </c>
      <c r="B22" s="3" t="inlineStr">
        <is>
          <t>零售</t>
        </is>
      </c>
      <c r="C22" s="3" t="inlineStr">
        <is>
          <t>钟表/珠宝/高端笔/精品</t>
        </is>
      </c>
      <c r="D22" s="4" t="n">
        <v>1105504</v>
      </c>
      <c r="E22" s="5">
        <f>IF(COUNTIF('同比基准(2025年7月)'!$A:$A,A22)=0,"新增",IF(INDEX('同比基准(2025年7月)'!$B:$B,MATCH(A22,'同比基准(2025年7月)'!$A:$A,0))=0,"",(D22-INDEX('同比基准(2025年7月)'!$B:$B,MATCH(A22,'同比基准(2025年7月)'!$A:$A,0)))/INDEX('同比基准(2025年7月)'!$B:$B,MATCH(A22,'同比基准(2025年7月)'!$A:$A,0))))</f>
        <v/>
      </c>
      <c r="F22" s="4" t="n">
        <v>2497.44</v>
      </c>
      <c r="G22" s="5">
        <f>IF(COUNTIF('同比基准(2025年7月)'!$A:$A,A22)=0,"新增",IF(INDEX('同比基准(2025年7月)'!$C:$C,MATCH(A22,'同比基准(2025年7月)'!$A:$A,0))=0,"",(F22-INDEX('同比基准(2025年7月)'!$C:$C,MATCH(A22,'同比基准(2025年7月)'!$A:$A,0)))/INDEX('同比基准(2025年7月)'!$C:$C,MATCH(A22,'同比基准(2025年7月)'!$A:$A,0))))</f>
        <v/>
      </c>
    </row>
    <row r="23">
      <c r="A23" s="2" t="inlineStr">
        <is>
          <t>老庙</t>
        </is>
      </c>
      <c r="B23" s="3" t="inlineStr">
        <is>
          <t>零售</t>
        </is>
      </c>
      <c r="C23" s="3" t="inlineStr">
        <is>
          <t>钟表/珠宝/高端笔/精品</t>
        </is>
      </c>
      <c r="D23" s="4" t="n">
        <v>1056751.33</v>
      </c>
      <c r="E23" s="5">
        <f>IF(COUNTIF('同比基准(2025年7月)'!$A:$A,A23)=0,"新增",IF(INDEX('同比基准(2025年7月)'!$B:$B,MATCH(A23,'同比基准(2025年7月)'!$A:$A,0))=0,"",(D23-INDEX('同比基准(2025年7月)'!$B:$B,MATCH(A23,'同比基准(2025年7月)'!$A:$A,0)))/INDEX('同比基准(2025年7月)'!$B:$B,MATCH(A23,'同比基准(2025年7月)'!$A:$A,0))))</f>
        <v/>
      </c>
      <c r="F23" s="4" t="n">
        <v>9461.780000000001</v>
      </c>
      <c r="G23" s="5">
        <f>IF(COUNTIF('同比基准(2025年7月)'!$A:$A,A23)=0,"新增",IF(INDEX('同比基准(2025年7月)'!$C:$C,MATCH(A23,'同比基准(2025年7月)'!$A:$A,0))=0,"",(F23-INDEX('同比基准(2025年7月)'!$C:$C,MATCH(A23,'同比基准(2025年7月)'!$A:$A,0)))/INDEX('同比基准(2025年7月)'!$C:$C,MATCH(A23,'同比基准(2025年7月)'!$A:$A,0))))</f>
        <v/>
      </c>
    </row>
    <row r="24">
      <c r="A24" s="2" t="inlineStr">
        <is>
          <t>泡泡玛特</t>
        </is>
      </c>
      <c r="B24" s="3" t="inlineStr">
        <is>
          <t>零售</t>
        </is>
      </c>
      <c r="C24" s="3" t="inlineStr">
        <is>
          <t>其他配套零售</t>
        </is>
      </c>
      <c r="D24" s="4" t="n">
        <v>1046552.8</v>
      </c>
      <c r="E24" s="5">
        <f>IF(COUNTIF('同比基准(2025年7月)'!$A:$A,A24)=0,"新增",IF(INDEX('同比基准(2025年7月)'!$B:$B,MATCH(A24,'同比基准(2025年7月)'!$A:$A,0))=0,"",(D24-INDEX('同比基准(2025年7月)'!$B:$B,MATCH(A24,'同比基准(2025年7月)'!$A:$A,0)))/INDEX('同比基准(2025年7月)'!$B:$B,MATCH(A24,'同比基准(2025年7月)'!$A:$A,0))))</f>
        <v/>
      </c>
      <c r="F24" s="4" t="n">
        <v>12703.56</v>
      </c>
      <c r="G24" s="5">
        <f>IF(COUNTIF('同比基准(2025年7月)'!$A:$A,A24)=0,"新增",IF(INDEX('同比基准(2025年7月)'!$C:$C,MATCH(A24,'同比基准(2025年7月)'!$A:$A,0))=0,"",(F24-INDEX('同比基准(2025年7月)'!$C:$C,MATCH(A24,'同比基准(2025年7月)'!$A:$A,0)))/INDEX('同比基准(2025年7月)'!$C:$C,MATCH(A24,'同比基准(2025年7月)'!$A:$A,0))))</f>
        <v/>
      </c>
    </row>
    <row r="25">
      <c r="A25" s="2" t="inlineStr">
        <is>
          <t>Dream Room</t>
        </is>
      </c>
      <c r="B25" s="3" t="inlineStr">
        <is>
          <t>零售</t>
        </is>
      </c>
      <c r="C25" s="3" t="inlineStr">
        <is>
          <t>数码电器</t>
        </is>
      </c>
      <c r="D25" s="4" t="n">
        <v>1040829.47</v>
      </c>
      <c r="E25" s="5">
        <f>IF(COUNTIF('同比基准(2025年7月)'!$A:$A,A25)=0,"新增",IF(INDEX('同比基准(2025年7月)'!$B:$B,MATCH(A25,'同比基准(2025年7月)'!$A:$A,0))=0,"",(D25-INDEX('同比基准(2025年7月)'!$B:$B,MATCH(A25,'同比基准(2025年7月)'!$A:$A,0)))/INDEX('同比基准(2025年7月)'!$B:$B,MATCH(A25,'同比基准(2025年7月)'!$A:$A,0))))</f>
        <v/>
      </c>
      <c r="F25" s="4" t="n">
        <v>0</v>
      </c>
      <c r="G25" s="5">
        <f>IF(COUNTIF('同比基准(2025年7月)'!$A:$A,A25)=0,"新增",IF(INDEX('同比基准(2025年7月)'!$C:$C,MATCH(A25,'同比基准(2025年7月)'!$A:$A,0))=0,"",(F25-INDEX('同比基准(2025年7月)'!$C:$C,MATCH(A25,'同比基准(2025年7月)'!$A:$A,0)))/INDEX('同比基准(2025年7月)'!$C:$C,MATCH(A25,'同比基准(2025年7月)'!$A:$A,0))))</f>
        <v/>
      </c>
    </row>
    <row r="26">
      <c r="A26" s="2" t="inlineStr">
        <is>
          <t>麦当劳(McDonalds)</t>
        </is>
      </c>
      <c r="B26" s="3" t="inlineStr">
        <is>
          <t>餐饮</t>
        </is>
      </c>
      <c r="C26" s="3" t="inlineStr">
        <is>
          <t>快餐</t>
        </is>
      </c>
      <c r="D26" s="4" t="n">
        <v>1037987</v>
      </c>
      <c r="E26" s="5">
        <f>IF(COUNTIF('同比基准(2025年7月)'!$A:$A,A26)=0,"新增",IF(INDEX('同比基准(2025年7月)'!$B:$B,MATCH(A26,'同比基准(2025年7月)'!$A:$A,0))=0,"",(D26-INDEX('同比基准(2025年7月)'!$B:$B,MATCH(A26,'同比基准(2025年7月)'!$A:$A,0)))/INDEX('同比基准(2025年7月)'!$B:$B,MATCH(A26,'同比基准(2025年7月)'!$A:$A,0))))</f>
        <v/>
      </c>
      <c r="F26" s="4" t="n">
        <v>0</v>
      </c>
      <c r="G26" s="5">
        <f>IF(COUNTIF('同比基准(2025年7月)'!$A:$A,A26)=0,"新增",IF(INDEX('同比基准(2025年7月)'!$C:$C,MATCH(A26,'同比基准(2025年7月)'!$A:$A,0))=0,"",(F26-INDEX('同比基准(2025年7月)'!$C:$C,MATCH(A26,'同比基准(2025年7月)'!$A:$A,0)))/INDEX('同比基准(2025年7月)'!$C:$C,MATCH(A26,'同比基准(2025年7月)'!$A:$A,0))))</f>
        <v/>
      </c>
    </row>
    <row r="27">
      <c r="A27" s="2" t="inlineStr">
        <is>
          <t>小菜园</t>
        </is>
      </c>
      <c r="B27" s="3" t="inlineStr">
        <is>
          <t>餐饮</t>
        </is>
      </c>
      <c r="C27" s="3" t="inlineStr">
        <is>
          <t>特色餐饮</t>
        </is>
      </c>
      <c r="D27" s="4" t="n">
        <v>1011410.85</v>
      </c>
      <c r="E27" s="5">
        <f>IF(COUNTIF('同比基准(2025年7月)'!$A:$A,A27)=0,"新增",IF(INDEX('同比基准(2025年7月)'!$B:$B,MATCH(A27,'同比基准(2025年7月)'!$A:$A,0))=0,"",(D27-INDEX('同比基准(2025年7月)'!$B:$B,MATCH(A27,'同比基准(2025年7月)'!$A:$A,0)))/INDEX('同比基准(2025年7月)'!$B:$B,MATCH(A27,'同比基准(2025年7月)'!$A:$A,0))))</f>
        <v/>
      </c>
      <c r="F27" s="4" t="n">
        <v>0</v>
      </c>
      <c r="G27" s="5">
        <f>IF(COUNTIF('同比基准(2025年7月)'!$A:$A,A27)=0,"新增",IF(INDEX('同比基准(2025年7月)'!$C:$C,MATCH(A27,'同比基准(2025年7月)'!$A:$A,0))=0,"",(F27-INDEX('同比基准(2025年7月)'!$C:$C,MATCH(A27,'同比基准(2025年7月)'!$A:$A,0)))/INDEX('同比基准(2025年7月)'!$C:$C,MATCH(A27,'同比基准(2025年7月)'!$A:$A,0))))</f>
        <v/>
      </c>
    </row>
    <row r="28">
      <c r="A28" s="2" t="inlineStr">
        <is>
          <t>肯德基</t>
        </is>
      </c>
      <c r="B28" s="3" t="inlineStr">
        <is>
          <t>餐饮</t>
        </is>
      </c>
      <c r="C28" s="3" t="inlineStr">
        <is>
          <t>快餐</t>
        </is>
      </c>
      <c r="D28" s="4" t="n">
        <v>1008109.34</v>
      </c>
      <c r="E28" s="5">
        <f>IF(COUNTIF('同比基准(2025年7月)'!$A:$A,A28)=0,"新增",IF(INDEX('同比基准(2025年7月)'!$B:$B,MATCH(A28,'同比基准(2025年7月)'!$A:$A,0))=0,"",(D28-INDEX('同比基准(2025年7月)'!$B:$B,MATCH(A28,'同比基准(2025年7月)'!$A:$A,0)))/INDEX('同比基准(2025年7月)'!$B:$B,MATCH(A28,'同比基准(2025年7月)'!$A:$A,0))))</f>
        <v/>
      </c>
      <c r="F28" s="4" t="n">
        <v>0</v>
      </c>
      <c r="G28" s="5">
        <f>IF(COUNTIF('同比基准(2025年7月)'!$A:$A,A28)=0,"新增",IF(INDEX('同比基准(2025年7月)'!$C:$C,MATCH(A28,'同比基准(2025年7月)'!$A:$A,0))=0,"",(F28-INDEX('同比基准(2025年7月)'!$C:$C,MATCH(A28,'同比基准(2025年7月)'!$A:$A,0)))/INDEX('同比基准(2025年7月)'!$C:$C,MATCH(A28,'同比基准(2025年7月)'!$A:$A,0))))</f>
        <v/>
      </c>
    </row>
    <row r="29">
      <c r="A29" s="2" t="inlineStr">
        <is>
          <t>老凤祥藏宝金</t>
        </is>
      </c>
      <c r="B29" s="3" t="inlineStr">
        <is>
          <t>零售</t>
        </is>
      </c>
      <c r="C29" s="3" t="inlineStr">
        <is>
          <t>钟表/珠宝/高端笔/精品</t>
        </is>
      </c>
      <c r="D29" s="4" t="n">
        <v>947937.2</v>
      </c>
      <c r="E29" s="5">
        <f>IF(COUNTIF('同比基准(2025年7月)'!$A:$A,A29)=0,"新增",IF(INDEX('同比基准(2025年7月)'!$B:$B,MATCH(A29,'同比基准(2025年7月)'!$A:$A,0))=0,"",(D29-INDEX('同比基准(2025年7月)'!$B:$B,MATCH(A29,'同比基准(2025年7月)'!$A:$A,0)))/INDEX('同比基准(2025年7月)'!$B:$B,MATCH(A29,'同比基准(2025年7月)'!$A:$A,0))))</f>
        <v/>
      </c>
      <c r="F29" s="4" t="n">
        <v>0</v>
      </c>
      <c r="G29" s="5">
        <f>IF(COUNTIF('同比基准(2025年7月)'!$A:$A,A29)=0,"新增",IF(INDEX('同比基准(2025年7月)'!$C:$C,MATCH(A29,'同比基准(2025年7月)'!$A:$A,0))=0,"",(F29-INDEX('同比基准(2025年7月)'!$C:$C,MATCH(A29,'同比基准(2025年7月)'!$A:$A,0)))/INDEX('同比基准(2025年7月)'!$C:$C,MATCH(A29,'同比基准(2025年7月)'!$A:$A,0))))</f>
        <v/>
      </c>
    </row>
    <row r="30">
      <c r="A30" s="2" t="inlineStr">
        <is>
          <t>大米先生</t>
        </is>
      </c>
      <c r="B30" s="3" t="inlineStr">
        <is>
          <t>餐饮</t>
        </is>
      </c>
      <c r="C30" s="3" t="inlineStr">
        <is>
          <t>快餐</t>
        </is>
      </c>
      <c r="D30" s="4" t="n">
        <v>941685.85</v>
      </c>
      <c r="E30" s="5">
        <f>IF(COUNTIF('同比基准(2025年7月)'!$A:$A,A30)=0,"新增",IF(INDEX('同比基准(2025年7月)'!$B:$B,MATCH(A30,'同比基准(2025年7月)'!$A:$A,0))=0,"",(D30-INDEX('同比基准(2025年7月)'!$B:$B,MATCH(A30,'同比基准(2025年7月)'!$A:$A,0)))/INDEX('同比基准(2025年7月)'!$B:$B,MATCH(A30,'同比基准(2025年7月)'!$A:$A,0))))</f>
        <v/>
      </c>
      <c r="F30" s="4" t="n">
        <v>48050.12</v>
      </c>
      <c r="G30" s="5">
        <f>IF(COUNTIF('同比基准(2025年7月)'!$A:$A,A30)=0,"新增",IF(INDEX('同比基准(2025年7月)'!$C:$C,MATCH(A30,'同比基准(2025年7月)'!$A:$A,0))=0,"",(F30-INDEX('同比基准(2025年7月)'!$C:$C,MATCH(A30,'同比基准(2025年7月)'!$A:$A,0)))/INDEX('同比基准(2025年7月)'!$C:$C,MATCH(A30,'同比基准(2025年7月)'!$A:$A,0))))</f>
        <v/>
      </c>
    </row>
    <row r="31">
      <c r="A31" s="2" t="inlineStr">
        <is>
          <t>爱婴室</t>
        </is>
      </c>
      <c r="B31" s="3" t="inlineStr">
        <is>
          <t>零售</t>
        </is>
      </c>
      <c r="C31" s="3" t="inlineStr">
        <is>
          <t>儿童用品</t>
        </is>
      </c>
      <c r="D31" s="4" t="n">
        <v>918515.92</v>
      </c>
      <c r="E31" s="5">
        <f>IF(COUNTIF('同比基准(2025年7月)'!$A:$A,A31)=0,"新增",IF(INDEX('同比基准(2025年7月)'!$B:$B,MATCH(A31,'同比基准(2025年7月)'!$A:$A,0))=0,"",(D31-INDEX('同比基准(2025年7月)'!$B:$B,MATCH(A31,'同比基准(2025年7月)'!$A:$A,0)))/INDEX('同比基准(2025年7月)'!$B:$B,MATCH(A31,'同比基准(2025年7月)'!$A:$A,0))))</f>
        <v/>
      </c>
      <c r="F31" s="4" t="n">
        <v>0</v>
      </c>
      <c r="G31" s="5">
        <f>IF(COUNTIF('同比基准(2025年7月)'!$A:$A,A31)=0,"新增",IF(INDEX('同比基准(2025年7月)'!$C:$C,MATCH(A31,'同比基准(2025年7月)'!$A:$A,0))=0,"",(F31-INDEX('同比基准(2025年7月)'!$C:$C,MATCH(A31,'同比基准(2025年7月)'!$A:$A,0)))/INDEX('同比基准(2025年7月)'!$C:$C,MATCH(A31,'同比基准(2025年7月)'!$A:$A,0))))</f>
        <v/>
      </c>
    </row>
    <row r="32">
      <c r="A32" s="2" t="inlineStr">
        <is>
          <t>潮宏基</t>
        </is>
      </c>
      <c r="B32" s="3" t="inlineStr">
        <is>
          <t>零售</t>
        </is>
      </c>
      <c r="C32" s="3" t="inlineStr">
        <is>
          <t>钟表/珠宝/高端笔/精品</t>
        </is>
      </c>
      <c r="D32" s="4" t="n">
        <v>913455.39</v>
      </c>
      <c r="E32" s="5">
        <f>IF(COUNTIF('同比基准(2025年7月)'!$A:$A,A32)=0,"新增",IF(INDEX('同比基准(2025年7月)'!$B:$B,MATCH(A32,'同比基准(2025年7月)'!$A:$A,0))=0,"",(D32-INDEX('同比基准(2025年7月)'!$B:$B,MATCH(A32,'同比基准(2025年7月)'!$A:$A,0)))/INDEX('同比基准(2025年7月)'!$B:$B,MATCH(A32,'同比基准(2025年7月)'!$A:$A,0))))</f>
        <v/>
      </c>
      <c r="F32" s="4" t="n">
        <v>0</v>
      </c>
      <c r="G32" s="5">
        <f>IF(COUNTIF('同比基准(2025年7月)'!$A:$A,A32)=0,"新增",IF(INDEX('同比基准(2025年7月)'!$C:$C,MATCH(A32,'同比基准(2025年7月)'!$A:$A,0))=0,"",(F32-INDEX('同比基准(2025年7月)'!$C:$C,MATCH(A32,'同比基准(2025年7月)'!$A:$A,0)))/INDEX('同比基准(2025年7月)'!$C:$C,MATCH(A32,'同比基准(2025年7月)'!$A:$A,0))))</f>
        <v/>
      </c>
    </row>
    <row r="33">
      <c r="A33" s="2" t="inlineStr">
        <is>
          <t>萨莉亚(Saizeriya RISTORANTE E CAFFÈ)</t>
        </is>
      </c>
      <c r="B33" s="3" t="inlineStr">
        <is>
          <t>餐饮</t>
        </is>
      </c>
      <c r="C33" s="3" t="inlineStr">
        <is>
          <t>快餐</t>
        </is>
      </c>
      <c r="D33" s="4" t="n">
        <v>896757</v>
      </c>
      <c r="E33" s="5">
        <f>IF(COUNTIF('同比基准(2025年7月)'!$A:$A,A33)=0,"新增",IF(INDEX('同比基准(2025年7月)'!$B:$B,MATCH(A33,'同比基准(2025年7月)'!$A:$A,0))=0,"",(D33-INDEX('同比基准(2025年7月)'!$B:$B,MATCH(A33,'同比基准(2025年7月)'!$A:$A,0)))/INDEX('同比基准(2025年7月)'!$B:$B,MATCH(A33,'同比基准(2025年7月)'!$A:$A,0))))</f>
        <v/>
      </c>
      <c r="F33" s="4" t="n">
        <v>2628.18</v>
      </c>
      <c r="G33" s="5">
        <f>IF(COUNTIF('同比基准(2025年7月)'!$A:$A,A33)=0,"新增",IF(INDEX('同比基准(2025年7月)'!$C:$C,MATCH(A33,'同比基准(2025年7月)'!$A:$A,0))=0,"",(F33-INDEX('同比基准(2025年7月)'!$C:$C,MATCH(A33,'同比基准(2025年7月)'!$A:$A,0)))/INDEX('同比基准(2025年7月)'!$C:$C,MATCH(A33,'同比基准(2025年7月)'!$A:$A,0))))</f>
        <v/>
      </c>
    </row>
    <row r="34">
      <c r="A34" s="2" t="inlineStr">
        <is>
          <t>桂满陇</t>
        </is>
      </c>
      <c r="B34" s="3" t="inlineStr">
        <is>
          <t>餐饮</t>
        </is>
      </c>
      <c r="C34" s="3" t="inlineStr">
        <is>
          <t>特色餐饮</t>
        </is>
      </c>
      <c r="D34" s="4" t="n">
        <v>890529.14</v>
      </c>
      <c r="E34" s="5">
        <f>IF(COUNTIF('同比基准(2025年7月)'!$A:$A,A34)=0,"新增",IF(INDEX('同比基准(2025年7月)'!$B:$B,MATCH(A34,'同比基准(2025年7月)'!$A:$A,0))=0,"",(D34-INDEX('同比基准(2025年7月)'!$B:$B,MATCH(A34,'同比基准(2025年7月)'!$A:$A,0)))/INDEX('同比基准(2025年7月)'!$B:$B,MATCH(A34,'同比基准(2025年7月)'!$A:$A,0))))</f>
        <v/>
      </c>
      <c r="F34" s="4" t="n">
        <v>0</v>
      </c>
      <c r="G34" s="5">
        <f>IF(COUNTIF('同比基准(2025年7月)'!$A:$A,A34)=0,"新增",IF(INDEX('同比基准(2025年7月)'!$C:$C,MATCH(A34,'同比基准(2025年7月)'!$A:$A,0))=0,"",(F34-INDEX('同比基准(2025年7月)'!$C:$C,MATCH(A34,'同比基准(2025年7月)'!$A:$A,0)))/INDEX('同比基准(2025年7月)'!$C:$C,MATCH(A34,'同比基准(2025年7月)'!$A:$A,0))))</f>
        <v/>
      </c>
    </row>
    <row r="35">
      <c r="A35" s="2" t="inlineStr">
        <is>
          <t>潮界</t>
        </is>
      </c>
      <c r="B35" s="3" t="inlineStr">
        <is>
          <t>餐饮</t>
        </is>
      </c>
      <c r="C35" s="3" t="inlineStr">
        <is>
          <t>特色餐饮</t>
        </is>
      </c>
      <c r="D35" s="4" t="n">
        <v>882660.1899999999</v>
      </c>
      <c r="E35" s="5">
        <f>IF(COUNTIF('同比基准(2025年7月)'!$A:$A,A35)=0,"新增",IF(INDEX('同比基准(2025年7月)'!$B:$B,MATCH(A35,'同比基准(2025年7月)'!$A:$A,0))=0,"",(D35-INDEX('同比基准(2025年7月)'!$B:$B,MATCH(A35,'同比基准(2025年7月)'!$A:$A,0)))/INDEX('同比基准(2025年7月)'!$B:$B,MATCH(A35,'同比基准(2025年7月)'!$A:$A,0))))</f>
        <v/>
      </c>
      <c r="F35" s="4" t="n">
        <v>0</v>
      </c>
      <c r="G35" s="5">
        <f>IF(COUNTIF('同比基准(2025年7月)'!$A:$A,A35)=0,"新增",IF(INDEX('同比基准(2025年7月)'!$C:$C,MATCH(A35,'同比基准(2025年7月)'!$A:$A,0))=0,"",(F35-INDEX('同比基准(2025年7月)'!$C:$C,MATCH(A35,'同比基准(2025年7月)'!$A:$A,0)))/INDEX('同比基准(2025年7月)'!$C:$C,MATCH(A35,'同比基准(2025年7月)'!$A:$A,0))))</f>
        <v/>
      </c>
    </row>
    <row r="36">
      <c r="A36" s="2" t="inlineStr">
        <is>
          <t>同合居</t>
        </is>
      </c>
      <c r="B36" s="3" t="inlineStr">
        <is>
          <t>餐饮</t>
        </is>
      </c>
      <c r="C36" s="3" t="inlineStr">
        <is>
          <t>特色餐饮</t>
        </is>
      </c>
      <c r="D36" s="4" t="n">
        <v>873543.88</v>
      </c>
      <c r="E36" s="5">
        <f>IF(COUNTIF('同比基准(2025年7月)'!$A:$A,A36)=0,"新增",IF(INDEX('同比基准(2025年7月)'!$B:$B,MATCH(A36,'同比基准(2025年7月)'!$A:$A,0))=0,"",(D36-INDEX('同比基准(2025年7月)'!$B:$B,MATCH(A36,'同比基准(2025年7月)'!$A:$A,0)))/INDEX('同比基准(2025年7月)'!$B:$B,MATCH(A36,'同比基准(2025年7月)'!$A:$A,0))))</f>
        <v/>
      </c>
      <c r="F36" s="4" t="n">
        <v>0</v>
      </c>
      <c r="G36" s="5">
        <f>IF(COUNTIF('同比基准(2025年7月)'!$A:$A,A36)=0,"新增",IF(INDEX('同比基准(2025年7月)'!$C:$C,MATCH(A36,'同比基准(2025年7月)'!$A:$A,0))=0,"",(F36-INDEX('同比基准(2025年7月)'!$C:$C,MATCH(A36,'同比基准(2025年7月)'!$A:$A,0)))/INDEX('同比基准(2025年7月)'!$C:$C,MATCH(A36,'同比基准(2025年7月)'!$A:$A,0))))</f>
        <v/>
      </c>
    </row>
    <row r="37">
      <c r="A37" s="2" t="inlineStr">
        <is>
          <t>柳真真</t>
        </is>
      </c>
      <c r="B37" s="3" t="inlineStr">
        <is>
          <t>餐饮</t>
        </is>
      </c>
      <c r="C37" s="3" t="inlineStr">
        <is>
          <t>特色餐饮</t>
        </is>
      </c>
      <c r="D37" s="4" t="n">
        <v>854841.6</v>
      </c>
      <c r="E37" s="5">
        <f>IF(COUNTIF('同比基准(2025年7月)'!$A:$A,A37)=0,"新增",IF(INDEX('同比基准(2025年7月)'!$B:$B,MATCH(A37,'同比基准(2025年7月)'!$A:$A,0))=0,"",(D37-INDEX('同比基准(2025年7月)'!$B:$B,MATCH(A37,'同比基准(2025年7月)'!$A:$A,0)))/INDEX('同比基准(2025年7月)'!$B:$B,MATCH(A37,'同比基准(2025年7月)'!$A:$A,0))))</f>
        <v/>
      </c>
      <c r="F37" s="4" t="n">
        <v>19798.46</v>
      </c>
      <c r="G37" s="5">
        <f>IF(COUNTIF('同比基准(2025年7月)'!$A:$A,A37)=0,"新增",IF(INDEX('同比基准(2025年7月)'!$C:$C,MATCH(A37,'同比基准(2025年7月)'!$A:$A,0))=0,"",(F37-INDEX('同比基准(2025年7月)'!$C:$C,MATCH(A37,'同比基准(2025年7月)'!$A:$A,0)))/INDEX('同比基准(2025年7月)'!$C:$C,MATCH(A37,'同比基准(2025年7月)'!$A:$A,0))))</f>
        <v/>
      </c>
    </row>
    <row r="38">
      <c r="A38" s="2" t="inlineStr">
        <is>
          <t>中国体育彩票</t>
        </is>
      </c>
      <c r="B38" s="3" t="inlineStr">
        <is>
          <t>服务</t>
        </is>
      </c>
      <c r="C38" s="3" t="inlineStr">
        <is>
          <t>配套设施</t>
        </is>
      </c>
      <c r="D38" s="4" t="n">
        <v>836262.78</v>
      </c>
      <c r="E38" s="5">
        <f>IF(COUNTIF('同比基准(2025年7月)'!$A:$A,A38)=0,"新增",IF(INDEX('同比基准(2025年7月)'!$B:$B,MATCH(A38,'同比基准(2025年7月)'!$A:$A,0))=0,"",(D38-INDEX('同比基准(2025年7月)'!$B:$B,MATCH(A38,'同比基准(2025年7月)'!$A:$A,0)))/INDEX('同比基准(2025年7月)'!$B:$B,MATCH(A38,'同比基准(2025年7月)'!$A:$A,0))))</f>
        <v/>
      </c>
      <c r="F38" s="4" t="n">
        <v>0</v>
      </c>
      <c r="G38" s="5">
        <f>IF(COUNTIF('同比基准(2025年7月)'!$A:$A,A38)=0,"新增",IF(INDEX('同比基准(2025年7月)'!$C:$C,MATCH(A38,'同比基准(2025年7月)'!$A:$A,0))=0,"",(F38-INDEX('同比基准(2025年7月)'!$C:$C,MATCH(A38,'同比基准(2025年7月)'!$A:$A,0)))/INDEX('同比基准(2025年7月)'!$C:$C,MATCH(A38,'同比基准(2025年7月)'!$A:$A,0))))</f>
        <v/>
      </c>
    </row>
    <row r="39">
      <c r="A39" s="2" t="inlineStr">
        <is>
          <t>vivo</t>
        </is>
      </c>
      <c r="B39" s="3" t="inlineStr">
        <is>
          <t>零售</t>
        </is>
      </c>
      <c r="C39" s="3" t="inlineStr">
        <is>
          <t>数码电器</t>
        </is>
      </c>
      <c r="D39" s="4" t="n">
        <v>823833.76</v>
      </c>
      <c r="E39" s="5">
        <f>IF(COUNTIF('同比基准(2025年7月)'!$A:$A,A39)=0,"新增",IF(INDEX('同比基准(2025年7月)'!$B:$B,MATCH(A39,'同比基准(2025年7月)'!$A:$A,0))=0,"",(D39-INDEX('同比基准(2025年7月)'!$B:$B,MATCH(A39,'同比基准(2025年7月)'!$A:$A,0)))/INDEX('同比基准(2025年7月)'!$B:$B,MATCH(A39,'同比基准(2025年7月)'!$A:$A,0))))</f>
        <v/>
      </c>
      <c r="F39" s="4" t="n">
        <v>0</v>
      </c>
      <c r="G39" s="5">
        <f>IF(COUNTIF('同比基准(2025年7月)'!$A:$A,A39)=0,"新增",IF(INDEX('同比基准(2025年7月)'!$C:$C,MATCH(A39,'同比基准(2025年7月)'!$A:$A,0))=0,"",(F39-INDEX('同比基准(2025年7月)'!$C:$C,MATCH(A39,'同比基准(2025年7月)'!$A:$A,0)))/INDEX('同比基准(2025年7月)'!$C:$C,MATCH(A39,'同比基准(2025年7月)'!$A:$A,0))))</f>
        <v/>
      </c>
    </row>
    <row r="40">
      <c r="A40" s="2" t="inlineStr">
        <is>
          <t>眉州东坡</t>
        </is>
      </c>
      <c r="B40" s="3" t="inlineStr">
        <is>
          <t>餐饮</t>
        </is>
      </c>
      <c r="C40" s="3" t="inlineStr">
        <is>
          <t>特色餐饮</t>
        </is>
      </c>
      <c r="D40" s="4" t="n">
        <v>823690.34</v>
      </c>
      <c r="E40" s="5">
        <f>IF(COUNTIF('同比基准(2025年7月)'!$A:$A,A40)=0,"新增",IF(INDEX('同比基准(2025年7月)'!$B:$B,MATCH(A40,'同比基准(2025年7月)'!$A:$A,0))=0,"",(D40-INDEX('同比基准(2025年7月)'!$B:$B,MATCH(A40,'同比基准(2025年7月)'!$A:$A,0)))/INDEX('同比基准(2025年7月)'!$B:$B,MATCH(A40,'同比基准(2025年7月)'!$A:$A,0))))</f>
        <v/>
      </c>
      <c r="F40" s="4" t="n">
        <v>0</v>
      </c>
      <c r="G40" s="5">
        <f>IF(COUNTIF('同比基准(2025年7月)'!$A:$A,A40)=0,"新增",IF(INDEX('同比基准(2025年7月)'!$C:$C,MATCH(A40,'同比基准(2025年7月)'!$A:$A,0))=0,"",(F40-INDEX('同比基准(2025年7月)'!$C:$C,MATCH(A40,'同比基准(2025年7月)'!$A:$A,0)))/INDEX('同比基准(2025年7月)'!$C:$C,MATCH(A40,'同比基准(2025年7月)'!$A:$A,0))))</f>
        <v/>
      </c>
    </row>
    <row r="41">
      <c r="A41" s="2" t="inlineStr">
        <is>
          <t>六福精品廊</t>
        </is>
      </c>
      <c r="B41" s="3" t="inlineStr">
        <is>
          <t>零售</t>
        </is>
      </c>
      <c r="C41" s="3" t="inlineStr">
        <is>
          <t>钟表/珠宝/高端笔/精品</t>
        </is>
      </c>
      <c r="D41" s="4" t="n">
        <v>823035.8</v>
      </c>
      <c r="E41" s="5">
        <f>IF(COUNTIF('同比基准(2025年7月)'!$A:$A,A41)=0,"新增",IF(INDEX('同比基准(2025年7月)'!$B:$B,MATCH(A41,'同比基准(2025年7月)'!$A:$A,0))=0,"",(D41-INDEX('同比基准(2025年7月)'!$B:$B,MATCH(A41,'同比基准(2025年7月)'!$A:$A,0)))/INDEX('同比基准(2025年7月)'!$B:$B,MATCH(A41,'同比基准(2025年7月)'!$A:$A,0))))</f>
        <v/>
      </c>
      <c r="F41" s="4" t="n">
        <v>0</v>
      </c>
      <c r="G41" s="5">
        <f>IF(COUNTIF('同比基准(2025年7月)'!$A:$A,A41)=0,"新增",IF(INDEX('同比基准(2025年7月)'!$C:$C,MATCH(A41,'同比基准(2025年7月)'!$A:$A,0))=0,"",(F41-INDEX('同比基准(2025年7月)'!$C:$C,MATCH(A41,'同比基准(2025年7月)'!$A:$A,0)))/INDEX('同比基准(2025年7月)'!$C:$C,MATCH(A41,'同比基准(2025年7月)'!$A:$A,0))))</f>
        <v/>
      </c>
    </row>
    <row r="42">
      <c r="A42" s="2" t="inlineStr">
        <is>
          <t>新陆小苑</t>
        </is>
      </c>
      <c r="B42" s="3" t="inlineStr">
        <is>
          <t>餐饮</t>
        </is>
      </c>
      <c r="C42" s="3" t="inlineStr">
        <is>
          <t>特色餐饮</t>
        </is>
      </c>
      <c r="D42" s="4" t="n">
        <v>817178.39</v>
      </c>
      <c r="E42" s="5">
        <f>IF(COUNTIF('同比基准(2025年7月)'!$A:$A,A42)=0,"新增",IF(INDEX('同比基准(2025年7月)'!$B:$B,MATCH(A42,'同比基准(2025年7月)'!$A:$A,0))=0,"",(D42-INDEX('同比基准(2025年7月)'!$B:$B,MATCH(A42,'同比基准(2025年7月)'!$A:$A,0)))/INDEX('同比基准(2025年7月)'!$B:$B,MATCH(A42,'同比基准(2025年7月)'!$A:$A,0))))</f>
        <v/>
      </c>
      <c r="F42" s="4" t="n">
        <v>2653.03</v>
      </c>
      <c r="G42" s="5">
        <f>IF(COUNTIF('同比基准(2025年7月)'!$A:$A,A42)=0,"新增",IF(INDEX('同比基准(2025年7月)'!$C:$C,MATCH(A42,'同比基准(2025年7月)'!$A:$A,0))=0,"",(F42-INDEX('同比基准(2025年7月)'!$C:$C,MATCH(A42,'同比基准(2025年7月)'!$A:$A,0)))/INDEX('同比基准(2025年7月)'!$C:$C,MATCH(A42,'同比基准(2025年7月)'!$A:$A,0))))</f>
        <v/>
      </c>
    </row>
    <row r="43">
      <c r="A43" s="2" t="inlineStr">
        <is>
          <t>周六福</t>
        </is>
      </c>
      <c r="B43" s="3" t="inlineStr">
        <is>
          <t>零售</t>
        </is>
      </c>
      <c r="C43" s="3" t="inlineStr">
        <is>
          <t>钟表/珠宝/高端笔/精品</t>
        </is>
      </c>
      <c r="D43" s="4" t="n">
        <v>766958.2</v>
      </c>
      <c r="E43" s="5">
        <f>IF(COUNTIF('同比基准(2025年7月)'!$A:$A,A43)=0,"新增",IF(INDEX('同比基准(2025年7月)'!$B:$B,MATCH(A43,'同比基准(2025年7月)'!$A:$A,0))=0,"",(D43-INDEX('同比基准(2025年7月)'!$B:$B,MATCH(A43,'同比基准(2025年7月)'!$A:$A,0)))/INDEX('同比基准(2025年7月)'!$B:$B,MATCH(A43,'同比基准(2025年7月)'!$A:$A,0))))</f>
        <v/>
      </c>
      <c r="F43" s="4" t="n">
        <v>5538.12</v>
      </c>
      <c r="G43" s="5">
        <f>IF(COUNTIF('同比基准(2025年7月)'!$A:$A,A43)=0,"新增",IF(INDEX('同比基准(2025年7月)'!$C:$C,MATCH(A43,'同比基准(2025年7月)'!$A:$A,0))=0,"",(F43-INDEX('同比基准(2025年7月)'!$C:$C,MATCH(A43,'同比基准(2025年7月)'!$A:$A,0)))/INDEX('同比基准(2025年7月)'!$C:$C,MATCH(A43,'同比基准(2025年7月)'!$A:$A,0))))</f>
        <v/>
      </c>
    </row>
    <row r="44">
      <c r="A44" s="2" t="inlineStr">
        <is>
          <t>爭鮮(SUSHI EXPRESS)</t>
        </is>
      </c>
      <c r="B44" s="3" t="inlineStr">
        <is>
          <t>餐饮</t>
        </is>
      </c>
      <c r="C44" s="3" t="inlineStr">
        <is>
          <t>特色餐饮</t>
        </is>
      </c>
      <c r="D44" s="4" t="n">
        <v>752902.84</v>
      </c>
      <c r="E44" s="5">
        <f>IF(COUNTIF('同比基准(2025年7月)'!$A:$A,A44)=0,"新增",IF(INDEX('同比基准(2025年7月)'!$B:$B,MATCH(A44,'同比基准(2025年7月)'!$A:$A,0))=0,"",(D44-INDEX('同比基准(2025年7月)'!$B:$B,MATCH(A44,'同比基准(2025年7月)'!$A:$A,0)))/INDEX('同比基准(2025年7月)'!$B:$B,MATCH(A44,'同比基准(2025年7月)'!$A:$A,0))))</f>
        <v/>
      </c>
      <c r="F44" s="4" t="n">
        <v>36133.67</v>
      </c>
      <c r="G44" s="5">
        <f>IF(COUNTIF('同比基准(2025年7月)'!$A:$A,A44)=0,"新增",IF(INDEX('同比基准(2025年7月)'!$C:$C,MATCH(A44,'同比基准(2025年7月)'!$A:$A,0))=0,"",(F44-INDEX('同比基准(2025年7月)'!$C:$C,MATCH(A44,'同比基准(2025年7月)'!$A:$A,0)))/INDEX('同比基准(2025年7月)'!$C:$C,MATCH(A44,'同比基准(2025年7月)'!$A:$A,0))))</f>
        <v/>
      </c>
    </row>
    <row r="45">
      <c r="A45" s="2" t="inlineStr">
        <is>
          <t>HOT MAXX</t>
        </is>
      </c>
      <c r="B45" s="3" t="inlineStr">
        <is>
          <t>零售</t>
        </is>
      </c>
      <c r="C45" s="3" t="inlineStr">
        <is>
          <t>包装食品</t>
        </is>
      </c>
      <c r="D45" s="4" t="n">
        <v>719680.14</v>
      </c>
      <c r="E45" s="5">
        <f>IF(COUNTIF('同比基准(2025年7月)'!$A:$A,A45)=0,"新增",IF(INDEX('同比基准(2025年7月)'!$B:$B,MATCH(A45,'同比基准(2025年7月)'!$A:$A,0))=0,"",(D45-INDEX('同比基准(2025年7月)'!$B:$B,MATCH(A45,'同比基准(2025年7月)'!$A:$A,0)))/INDEX('同比基准(2025年7月)'!$B:$B,MATCH(A45,'同比基准(2025年7月)'!$A:$A,0))))</f>
        <v/>
      </c>
      <c r="F45" s="4" t="n">
        <v>0</v>
      </c>
      <c r="G45" s="5">
        <f>IF(COUNTIF('同比基准(2025年7月)'!$A:$A,A45)=0,"新增",IF(INDEX('同比基准(2025年7月)'!$C:$C,MATCH(A45,'同比基准(2025年7月)'!$A:$A,0))=0,"",(F45-INDEX('同比基准(2025年7月)'!$C:$C,MATCH(A45,'同比基准(2025年7月)'!$A:$A,0)))/INDEX('同比基准(2025年7月)'!$C:$C,MATCH(A45,'同比基准(2025年7月)'!$A:$A,0))))</f>
        <v/>
      </c>
    </row>
    <row r="46">
      <c r="A46" s="2" t="inlineStr">
        <is>
          <t>小杨生煎</t>
        </is>
      </c>
      <c r="B46" s="3" t="inlineStr">
        <is>
          <t>餐饮</t>
        </is>
      </c>
      <c r="C46" s="3" t="inlineStr">
        <is>
          <t>快餐</t>
        </is>
      </c>
      <c r="D46" s="4" t="n">
        <v>716584.1899999999</v>
      </c>
      <c r="E46" s="5">
        <f>IF(COUNTIF('同比基准(2025年7月)'!$A:$A,A46)=0,"新增",IF(INDEX('同比基准(2025年7月)'!$B:$B,MATCH(A46,'同比基准(2025年7月)'!$A:$A,0))=0,"",(D46-INDEX('同比基准(2025年7月)'!$B:$B,MATCH(A46,'同比基准(2025年7月)'!$A:$A,0)))/INDEX('同比基准(2025年7月)'!$B:$B,MATCH(A46,'同比基准(2025年7月)'!$A:$A,0))))</f>
        <v/>
      </c>
      <c r="F46" s="4" t="n">
        <v>36754.11</v>
      </c>
      <c r="G46" s="5">
        <f>IF(COUNTIF('同比基准(2025年7月)'!$A:$A,A46)=0,"新增",IF(INDEX('同比基准(2025年7月)'!$C:$C,MATCH(A46,'同比基准(2025年7月)'!$A:$A,0))=0,"",(F46-INDEX('同比基准(2025年7月)'!$C:$C,MATCH(A46,'同比基准(2025年7月)'!$A:$A,0)))/INDEX('同比基准(2025年7月)'!$C:$C,MATCH(A46,'同比基准(2025年7月)'!$A:$A,0))))</f>
        <v/>
      </c>
    </row>
    <row r="47">
      <c r="A47" s="2" t="inlineStr">
        <is>
          <t>厚贞</t>
        </is>
      </c>
      <c r="B47" s="3" t="inlineStr">
        <is>
          <t>餐饮</t>
        </is>
      </c>
      <c r="C47" s="3" t="inlineStr">
        <is>
          <t>特色餐饮</t>
        </is>
      </c>
      <c r="D47" s="4" t="n">
        <v>714392.7</v>
      </c>
      <c r="E47" s="5">
        <f>IF(COUNTIF('同比基准(2025年7月)'!$A:$A,A47)=0,"新增",IF(INDEX('同比基准(2025年7月)'!$B:$B,MATCH(A47,'同比基准(2025年7月)'!$A:$A,0))=0,"",(D47-INDEX('同比基准(2025年7月)'!$B:$B,MATCH(A47,'同比基准(2025年7月)'!$A:$A,0)))/INDEX('同比基准(2025年7月)'!$B:$B,MATCH(A47,'同比基准(2025年7月)'!$A:$A,0))))</f>
        <v/>
      </c>
      <c r="F47" s="4" t="n">
        <v>0</v>
      </c>
      <c r="G47" s="5">
        <f>IF(COUNTIF('同比基准(2025年7月)'!$A:$A,A47)=0,"新增",IF(INDEX('同比基准(2025年7月)'!$C:$C,MATCH(A47,'同比基准(2025年7月)'!$A:$A,0))=0,"",(F47-INDEX('同比基准(2025年7月)'!$C:$C,MATCH(A47,'同比基准(2025年7月)'!$A:$A,0)))/INDEX('同比基准(2025年7月)'!$C:$C,MATCH(A47,'同比基准(2025年7月)'!$A:$A,0))))</f>
        <v/>
      </c>
    </row>
    <row r="48">
      <c r="A48" s="2" t="inlineStr">
        <is>
          <t>baker bleu</t>
        </is>
      </c>
      <c r="B48" s="3" t="inlineStr">
        <is>
          <t>餐饮</t>
        </is>
      </c>
      <c r="C48" s="3" t="inlineStr">
        <is>
          <t>特色餐饮</t>
        </is>
      </c>
      <c r="D48" s="4" t="n">
        <v>704623.47</v>
      </c>
      <c r="E48" s="5">
        <f>IF(COUNTIF('同比基准(2025年7月)'!$A:$A,A48)=0,"新增",IF(INDEX('同比基准(2025年7月)'!$B:$B,MATCH(A48,'同比基准(2025年7月)'!$A:$A,0))=0,"",(D48-INDEX('同比基准(2025年7月)'!$B:$B,MATCH(A48,'同比基准(2025年7月)'!$A:$A,0)))/INDEX('同比基准(2025年7月)'!$B:$B,MATCH(A48,'同比基准(2025年7月)'!$A:$A,0))))</f>
        <v/>
      </c>
      <c r="F48" s="4" t="n">
        <v>0</v>
      </c>
      <c r="G48" s="5">
        <f>IF(COUNTIF('同比基准(2025年7月)'!$A:$A,A48)=0,"新增",IF(INDEX('同比基准(2025年7月)'!$C:$C,MATCH(A48,'同比基准(2025年7月)'!$A:$A,0))=0,"",(F48-INDEX('同比基准(2025年7月)'!$C:$C,MATCH(A48,'同比基准(2025年7月)'!$A:$A,0)))/INDEX('同比基准(2025年7月)'!$C:$C,MATCH(A48,'同比基准(2025年7月)'!$A:$A,0))))</f>
        <v/>
      </c>
    </row>
    <row r="49">
      <c r="A49" s="2" t="inlineStr">
        <is>
          <t>中国黄金</t>
        </is>
      </c>
      <c r="B49" s="3" t="inlineStr">
        <is>
          <t>零售</t>
        </is>
      </c>
      <c r="C49" s="3" t="inlineStr">
        <is>
          <t>钟表/珠宝/高端笔/精品</t>
        </is>
      </c>
      <c r="D49" s="4" t="n">
        <v>696851</v>
      </c>
      <c r="E49" s="5">
        <f>IF(COUNTIF('同比基准(2025年7月)'!$A:$A,A49)=0,"新增",IF(INDEX('同比基准(2025年7月)'!$B:$B,MATCH(A49,'同比基准(2025年7月)'!$A:$A,0))=0,"",(D49-INDEX('同比基准(2025年7月)'!$B:$B,MATCH(A49,'同比基准(2025年7月)'!$A:$A,0)))/INDEX('同比基准(2025年7月)'!$B:$B,MATCH(A49,'同比基准(2025年7月)'!$A:$A,0))))</f>
        <v/>
      </c>
      <c r="F49" s="4" t="n">
        <v>0</v>
      </c>
      <c r="G49" s="5">
        <f>IF(COUNTIF('同比基准(2025年7月)'!$A:$A,A49)=0,"新增",IF(INDEX('同比基准(2025年7月)'!$C:$C,MATCH(A49,'同比基准(2025年7月)'!$A:$A,0))=0,"",(F49-INDEX('同比基准(2025年7月)'!$C:$C,MATCH(A49,'同比基准(2025年7月)'!$A:$A,0)))/INDEX('同比基准(2025年7月)'!$C:$C,MATCH(A49,'同比基准(2025年7月)'!$A:$A,0))))</f>
        <v/>
      </c>
    </row>
    <row r="50">
      <c r="A50" s="2" t="inlineStr">
        <is>
          <t>丝芙兰(SEPHORA)</t>
        </is>
      </c>
      <c r="B50" s="3" t="inlineStr">
        <is>
          <t>零售</t>
        </is>
      </c>
      <c r="C50" s="3" t="inlineStr">
        <is>
          <t>化妆品</t>
        </is>
      </c>
      <c r="D50" s="4" t="n">
        <v>696808.2</v>
      </c>
      <c r="E50" s="5">
        <f>IF(COUNTIF('同比基准(2025年7月)'!$A:$A,A50)=0,"新增",IF(INDEX('同比基准(2025年7月)'!$B:$B,MATCH(A50,'同比基准(2025年7月)'!$A:$A,0))=0,"",(D50-INDEX('同比基准(2025年7月)'!$B:$B,MATCH(A50,'同比基准(2025年7月)'!$A:$A,0)))/INDEX('同比基准(2025年7月)'!$B:$B,MATCH(A50,'同比基准(2025年7月)'!$A:$A,0))))</f>
        <v/>
      </c>
      <c r="F50" s="4" t="n">
        <v>43167.27</v>
      </c>
      <c r="G50" s="5">
        <f>IF(COUNTIF('同比基准(2025年7月)'!$A:$A,A50)=0,"新增",IF(INDEX('同比基准(2025年7月)'!$C:$C,MATCH(A50,'同比基准(2025年7月)'!$A:$A,0))=0,"",(F50-INDEX('同比基准(2025年7月)'!$C:$C,MATCH(A50,'同比基准(2025年7月)'!$A:$A,0)))/INDEX('同比基准(2025年7月)'!$C:$C,MATCH(A50,'同比基准(2025年7月)'!$A:$A,0))))</f>
        <v/>
      </c>
    </row>
    <row r="51">
      <c r="A51" s="2" t="inlineStr">
        <is>
          <t>瑞思少儿中心(Rise)</t>
        </is>
      </c>
      <c r="B51" s="3" t="inlineStr">
        <is>
          <t>服务</t>
        </is>
      </c>
      <c r="C51" s="3" t="inlineStr">
        <is>
          <t>儿童教育/儿童服务</t>
        </is>
      </c>
      <c r="D51" s="4" t="n">
        <v>684468</v>
      </c>
      <c r="E51" s="5">
        <f>IF(COUNTIF('同比基准(2025年7月)'!$A:$A,A51)=0,"新增",IF(INDEX('同比基准(2025年7月)'!$B:$B,MATCH(A51,'同比基准(2025年7月)'!$A:$A,0))=0,"",(D51-INDEX('同比基准(2025年7月)'!$B:$B,MATCH(A51,'同比基准(2025年7月)'!$A:$A,0)))/INDEX('同比基准(2025年7月)'!$B:$B,MATCH(A51,'同比基准(2025年7月)'!$A:$A,0))))</f>
        <v/>
      </c>
      <c r="F51" s="4" t="n">
        <v>0</v>
      </c>
      <c r="G51" s="5">
        <f>IF(COUNTIF('同比基准(2025年7月)'!$A:$A,A51)=0,"新增",IF(INDEX('同比基准(2025年7月)'!$C:$C,MATCH(A51,'同比基准(2025年7月)'!$A:$A,0))=0,"",(F51-INDEX('同比基准(2025年7月)'!$C:$C,MATCH(A51,'同比基准(2025年7月)'!$A:$A,0)))/INDEX('同比基准(2025年7月)'!$C:$C,MATCH(A51,'同比基准(2025年7月)'!$A:$A,0))))</f>
        <v/>
      </c>
    </row>
    <row r="52">
      <c r="A52" s="2" t="inlineStr">
        <is>
          <t>卡通尼乐园</t>
        </is>
      </c>
      <c r="B52" s="3" t="inlineStr">
        <is>
          <t>娱乐</t>
        </is>
      </c>
      <c r="C52" s="3" t="inlineStr">
        <is>
          <t>儿童娱乐</t>
        </is>
      </c>
      <c r="D52" s="4" t="n">
        <v>683370.9</v>
      </c>
      <c r="E52" s="5">
        <f>IF(COUNTIF('同比基准(2025年7月)'!$A:$A,A52)=0,"新增",IF(INDEX('同比基准(2025年7月)'!$B:$B,MATCH(A52,'同比基准(2025年7月)'!$A:$A,0))=0,"",(D52-INDEX('同比基准(2025年7月)'!$B:$B,MATCH(A52,'同比基准(2025年7月)'!$A:$A,0)))/INDEX('同比基准(2025年7月)'!$B:$B,MATCH(A52,'同比基准(2025年7月)'!$A:$A,0))))</f>
        <v/>
      </c>
      <c r="F52" s="4" t="n">
        <v>0</v>
      </c>
      <c r="G52" s="5">
        <f>IF(COUNTIF('同比基准(2025年7月)'!$A:$A,A52)=0,"新增",IF(INDEX('同比基准(2025年7月)'!$C:$C,MATCH(A52,'同比基准(2025年7月)'!$A:$A,0))=0,"",(F52-INDEX('同比基准(2025年7月)'!$C:$C,MATCH(A52,'同比基准(2025年7月)'!$A:$A,0)))/INDEX('同比基准(2025年7月)'!$C:$C,MATCH(A52,'同比基准(2025年7月)'!$A:$A,0))))</f>
        <v/>
      </c>
    </row>
    <row r="53">
      <c r="A53" s="2" t="inlineStr">
        <is>
          <t>Drunk baker</t>
        </is>
      </c>
      <c r="B53" s="3" t="inlineStr">
        <is>
          <t>餐饮</t>
        </is>
      </c>
      <c r="C53" s="3" t="inlineStr">
        <is>
          <t>休闲餐饮</t>
        </is>
      </c>
      <c r="D53" s="4" t="n">
        <v>679907.97</v>
      </c>
      <c r="E53" s="5">
        <f>IF(COUNTIF('同比基准(2025年7月)'!$A:$A,A53)=0,"新增",IF(INDEX('同比基准(2025年7月)'!$B:$B,MATCH(A53,'同比基准(2025年7月)'!$A:$A,0))=0,"",(D53-INDEX('同比基准(2025年7月)'!$B:$B,MATCH(A53,'同比基准(2025年7月)'!$A:$A,0)))/INDEX('同比基准(2025年7月)'!$B:$B,MATCH(A53,'同比基准(2025年7月)'!$A:$A,0))))</f>
        <v/>
      </c>
      <c r="F53" s="4" t="n">
        <v>0</v>
      </c>
      <c r="G53" s="5">
        <f>IF(COUNTIF('同比基准(2025年7月)'!$A:$A,A53)=0,"新增",IF(INDEX('同比基准(2025年7月)'!$C:$C,MATCH(A53,'同比基准(2025年7月)'!$A:$A,0))=0,"",(F53-INDEX('同比基准(2025年7月)'!$C:$C,MATCH(A53,'同比基准(2025年7月)'!$A:$A,0)))/INDEX('同比基准(2025年7月)'!$C:$C,MATCH(A53,'同比基准(2025年7月)'!$A:$A,0))))</f>
        <v/>
      </c>
    </row>
    <row r="54">
      <c r="A54" s="2" t="inlineStr">
        <is>
          <t>周生生</t>
        </is>
      </c>
      <c r="B54" s="3" t="inlineStr">
        <is>
          <t>零售</t>
        </is>
      </c>
      <c r="C54" s="3" t="inlineStr">
        <is>
          <t>钟表/珠宝/高端笔/精品</t>
        </is>
      </c>
      <c r="D54" s="4" t="n">
        <v>667162</v>
      </c>
      <c r="E54" s="5">
        <f>IF(COUNTIF('同比基准(2025年7月)'!$A:$A,A54)=0,"新增",IF(INDEX('同比基准(2025年7月)'!$B:$B,MATCH(A54,'同比基准(2025年7月)'!$A:$A,0))=0,"",(D54-INDEX('同比基准(2025年7月)'!$B:$B,MATCH(A54,'同比基准(2025年7月)'!$A:$A,0)))/INDEX('同比基准(2025年7月)'!$B:$B,MATCH(A54,'同比基准(2025年7月)'!$A:$A,0))))</f>
        <v/>
      </c>
      <c r="F54" s="4" t="n">
        <v>0</v>
      </c>
      <c r="G54" s="5">
        <f>IF(COUNTIF('同比基准(2025年7月)'!$A:$A,A54)=0,"新增",IF(INDEX('同比基准(2025年7月)'!$C:$C,MATCH(A54,'同比基准(2025年7月)'!$A:$A,0))=0,"",(F54-INDEX('同比基准(2025年7月)'!$C:$C,MATCH(A54,'同比基准(2025年7月)'!$A:$A,0)))/INDEX('同比基准(2025年7月)'!$C:$C,MATCH(A54,'同比基准(2025年7月)'!$A:$A,0))))</f>
        <v/>
      </c>
    </row>
    <row r="55">
      <c r="A55" s="2" t="inlineStr">
        <is>
          <t>OPPO</t>
        </is>
      </c>
      <c r="B55" s="3" t="inlineStr">
        <is>
          <t>零售</t>
        </is>
      </c>
      <c r="C55" s="3" t="inlineStr">
        <is>
          <t>数码电器</t>
        </is>
      </c>
      <c r="D55" s="4" t="n">
        <v>650929.6899999999</v>
      </c>
      <c r="E55" s="5">
        <f>IF(COUNTIF('同比基准(2025年7月)'!$A:$A,A55)=0,"新增",IF(INDEX('同比基准(2025年7月)'!$B:$B,MATCH(A55,'同比基准(2025年7月)'!$A:$A,0))=0,"",(D55-INDEX('同比基准(2025年7月)'!$B:$B,MATCH(A55,'同比基准(2025年7月)'!$A:$A,0)))/INDEX('同比基准(2025年7月)'!$B:$B,MATCH(A55,'同比基准(2025年7月)'!$A:$A,0))))</f>
        <v/>
      </c>
      <c r="F55" s="4" t="n">
        <v>0</v>
      </c>
      <c r="G55" s="5">
        <f>IF(COUNTIF('同比基准(2025年7月)'!$A:$A,A55)=0,"新增",IF(INDEX('同比基准(2025年7月)'!$C:$C,MATCH(A55,'同比基准(2025年7月)'!$A:$A,0))=0,"",(F55-INDEX('同比基准(2025年7月)'!$C:$C,MATCH(A55,'同比基准(2025年7月)'!$A:$A,0)))/INDEX('同比基准(2025年7月)'!$C:$C,MATCH(A55,'同比基准(2025年7月)'!$A:$A,0))))</f>
        <v/>
      </c>
    </row>
    <row r="56">
      <c r="A56" s="2" t="inlineStr">
        <is>
          <t>荣耀</t>
        </is>
      </c>
      <c r="B56" s="3" t="inlineStr">
        <is>
          <t>零售</t>
        </is>
      </c>
      <c r="C56" s="3" t="inlineStr">
        <is>
          <t>数码电器</t>
        </is>
      </c>
      <c r="D56" s="4" t="n">
        <v>628327</v>
      </c>
      <c r="E56" s="5">
        <f>IF(COUNTIF('同比基准(2025年7月)'!$A:$A,A56)=0,"新增",IF(INDEX('同比基准(2025年7月)'!$B:$B,MATCH(A56,'同比基准(2025年7月)'!$A:$A,0))=0,"",(D56-INDEX('同比基准(2025年7月)'!$B:$B,MATCH(A56,'同比基准(2025年7月)'!$A:$A,0)))/INDEX('同比基准(2025年7月)'!$B:$B,MATCH(A56,'同比基准(2025年7月)'!$A:$A,0))))</f>
        <v/>
      </c>
      <c r="F56" s="4" t="n">
        <v>0</v>
      </c>
      <c r="G56" s="5">
        <f>IF(COUNTIF('同比基准(2025年7月)'!$A:$A,A56)=0,"新增",IF(INDEX('同比基准(2025年7月)'!$C:$C,MATCH(A56,'同比基准(2025年7月)'!$A:$A,0))=0,"",(F56-INDEX('同比基准(2025年7月)'!$C:$C,MATCH(A56,'同比基准(2025年7月)'!$A:$A,0)))/INDEX('同比基准(2025年7月)'!$C:$C,MATCH(A56,'同比基准(2025年7月)'!$A:$A,0))))</f>
        <v/>
      </c>
    </row>
    <row r="57">
      <c r="A57" s="2" t="inlineStr">
        <is>
          <t>名创优品</t>
        </is>
      </c>
      <c r="B57" s="3" t="inlineStr">
        <is>
          <t>零售</t>
        </is>
      </c>
      <c r="C57" s="3" t="inlineStr">
        <is>
          <t>其他配套零售</t>
        </is>
      </c>
      <c r="D57" s="4" t="n">
        <v>607124.22</v>
      </c>
      <c r="E57" s="5">
        <f>IF(COUNTIF('同比基准(2025年7月)'!$A:$A,A57)=0,"新增",IF(INDEX('同比基准(2025年7月)'!$B:$B,MATCH(A57,'同比基准(2025年7月)'!$A:$A,0))=0,"",(D57-INDEX('同比基准(2025年7月)'!$B:$B,MATCH(A57,'同比基准(2025年7月)'!$A:$A,0)))/INDEX('同比基准(2025年7月)'!$B:$B,MATCH(A57,'同比基准(2025年7月)'!$A:$A,0))))</f>
        <v/>
      </c>
      <c r="F57" s="4" t="n">
        <v>2110.76</v>
      </c>
      <c r="G57" s="5">
        <f>IF(COUNTIF('同比基准(2025年7月)'!$A:$A,A57)=0,"新增",IF(INDEX('同比基准(2025年7月)'!$C:$C,MATCH(A57,'同比基准(2025年7月)'!$A:$A,0))=0,"",(F57-INDEX('同比基准(2025年7月)'!$C:$C,MATCH(A57,'同比基准(2025年7月)'!$A:$A,0)))/INDEX('同比基准(2025年7月)'!$C:$C,MATCH(A57,'同比基准(2025年7月)'!$A:$A,0))))</f>
        <v/>
      </c>
    </row>
    <row r="58">
      <c r="A58" s="2" t="inlineStr">
        <is>
          <t>江边城外烤全鱼(JIANG BIAN CHENG WAI)</t>
        </is>
      </c>
      <c r="B58" s="3" t="inlineStr">
        <is>
          <t>餐饮</t>
        </is>
      </c>
      <c r="C58" s="3" t="inlineStr">
        <is>
          <t>特色餐饮</t>
        </is>
      </c>
      <c r="D58" s="4" t="n">
        <v>603386.65</v>
      </c>
      <c r="E58" s="5">
        <f>IF(COUNTIF('同比基准(2025年7月)'!$A:$A,A58)=0,"新增",IF(INDEX('同比基准(2025年7月)'!$B:$B,MATCH(A58,'同比基准(2025年7月)'!$A:$A,0))=0,"",(D58-INDEX('同比基准(2025年7月)'!$B:$B,MATCH(A58,'同比基准(2025年7月)'!$A:$A,0)))/INDEX('同比基准(2025年7月)'!$B:$B,MATCH(A58,'同比基准(2025年7月)'!$A:$A,0))))</f>
        <v/>
      </c>
      <c r="F58" s="4" t="n">
        <v>0</v>
      </c>
      <c r="G58" s="5">
        <f>IF(COUNTIF('同比基准(2025年7月)'!$A:$A,A58)=0,"新增",IF(INDEX('同比基准(2025年7月)'!$C:$C,MATCH(A58,'同比基准(2025年7月)'!$A:$A,0))=0,"",(F58-INDEX('同比基准(2025年7月)'!$C:$C,MATCH(A58,'同比基准(2025年7月)'!$A:$A,0)))/INDEX('同比基准(2025年7月)'!$C:$C,MATCH(A58,'同比基准(2025年7月)'!$A:$A,0))))</f>
        <v/>
      </c>
    </row>
    <row r="59">
      <c r="A59" s="2" t="inlineStr">
        <is>
          <t>太二</t>
        </is>
      </c>
      <c r="B59" s="3" t="inlineStr">
        <is>
          <t>餐饮</t>
        </is>
      </c>
      <c r="C59" s="3" t="inlineStr">
        <is>
          <t>特色餐饮</t>
        </is>
      </c>
      <c r="D59" s="4" t="n">
        <v>595081.5600000001</v>
      </c>
      <c r="E59" s="5">
        <f>IF(COUNTIF('同比基准(2025年7月)'!$A:$A,A59)=0,"新增",IF(INDEX('同比基准(2025年7月)'!$B:$B,MATCH(A59,'同比基准(2025年7月)'!$A:$A,0))=0,"",(D59-INDEX('同比基准(2025年7月)'!$B:$B,MATCH(A59,'同比基准(2025年7月)'!$A:$A,0)))/INDEX('同比基准(2025年7月)'!$B:$B,MATCH(A59,'同比基准(2025年7月)'!$A:$A,0))))</f>
        <v/>
      </c>
      <c r="F59" s="4" t="n">
        <v>0</v>
      </c>
      <c r="G59" s="5">
        <f>IF(COUNTIF('同比基准(2025年7月)'!$A:$A,A59)=0,"新增",IF(INDEX('同比基准(2025年7月)'!$C:$C,MATCH(A59,'同比基准(2025年7月)'!$A:$A,0))=0,"",(F59-INDEX('同比基准(2025年7月)'!$C:$C,MATCH(A59,'同比基准(2025年7月)'!$A:$A,0)))/INDEX('同比基准(2025年7月)'!$C:$C,MATCH(A59,'同比基准(2025年7月)'!$A:$A,0))))</f>
        <v/>
      </c>
    </row>
    <row r="60">
      <c r="A60" s="2" t="inlineStr">
        <is>
          <t>捞王</t>
        </is>
      </c>
      <c r="B60" s="3" t="inlineStr">
        <is>
          <t>餐饮</t>
        </is>
      </c>
      <c r="C60" s="3" t="inlineStr">
        <is>
          <t>特色餐饮</t>
        </is>
      </c>
      <c r="D60" s="4" t="n">
        <v>572829.39</v>
      </c>
      <c r="E60" s="5">
        <f>IF(COUNTIF('同比基准(2025年7月)'!$A:$A,A60)=0,"新增",IF(INDEX('同比基准(2025年7月)'!$B:$B,MATCH(A60,'同比基准(2025年7月)'!$A:$A,0))=0,"",(D60-INDEX('同比基准(2025年7月)'!$B:$B,MATCH(A60,'同比基准(2025年7月)'!$A:$A,0)))/INDEX('同比基准(2025年7月)'!$B:$B,MATCH(A60,'同比基准(2025年7月)'!$A:$A,0))))</f>
        <v/>
      </c>
      <c r="F60" s="4" t="n">
        <v>0</v>
      </c>
      <c r="G60" s="5">
        <f>IF(COUNTIF('同比基准(2025年7月)'!$A:$A,A60)=0,"新增",IF(INDEX('同比基准(2025年7月)'!$C:$C,MATCH(A60,'同比基准(2025年7月)'!$A:$A,0))=0,"",(F60-INDEX('同比基准(2025年7月)'!$C:$C,MATCH(A60,'同比基准(2025年7月)'!$A:$A,0)))/INDEX('同比基准(2025年7月)'!$C:$C,MATCH(A60,'同比基准(2025年7月)'!$A:$A,0))))</f>
        <v/>
      </c>
    </row>
    <row r="61">
      <c r="A61" s="2" t="inlineStr">
        <is>
          <t>西贝莜面村</t>
        </is>
      </c>
      <c r="B61" s="3" t="inlineStr">
        <is>
          <t>餐饮</t>
        </is>
      </c>
      <c r="C61" s="3" t="inlineStr">
        <is>
          <t>特色餐饮</t>
        </is>
      </c>
      <c r="D61" s="4" t="n">
        <v>572638.8199999999</v>
      </c>
      <c r="E61" s="5">
        <f>IF(COUNTIF('同比基准(2025年7月)'!$A:$A,A61)=0,"新增",IF(INDEX('同比基准(2025年7月)'!$B:$B,MATCH(A61,'同比基准(2025年7月)'!$A:$A,0))=0,"",(D61-INDEX('同比基准(2025年7月)'!$B:$B,MATCH(A61,'同比基准(2025年7月)'!$A:$A,0)))/INDEX('同比基准(2025年7月)'!$B:$B,MATCH(A61,'同比基准(2025年7月)'!$A:$A,0))))</f>
        <v/>
      </c>
      <c r="F61" s="4" t="n">
        <v>0</v>
      </c>
      <c r="G61" s="5">
        <f>IF(COUNTIF('同比基准(2025年7月)'!$A:$A,A61)=0,"新增",IF(INDEX('同比基准(2025年7月)'!$C:$C,MATCH(A61,'同比基准(2025年7月)'!$A:$A,0))=0,"",(F61-INDEX('同比基准(2025年7月)'!$C:$C,MATCH(A61,'同比基准(2025年7月)'!$A:$A,0)))/INDEX('同比基准(2025年7月)'!$C:$C,MATCH(A61,'同比基准(2025年7月)'!$A:$A,0))))</f>
        <v/>
      </c>
    </row>
    <row r="62">
      <c r="A62" s="2" t="inlineStr">
        <is>
          <t>祐禾</t>
        </is>
      </c>
      <c r="B62" s="3" t="inlineStr">
        <is>
          <t>餐饮</t>
        </is>
      </c>
      <c r="C62" s="3" t="inlineStr">
        <is>
          <t>休闲餐饮</t>
        </is>
      </c>
      <c r="D62" s="4" t="n">
        <v>570584.42</v>
      </c>
      <c r="E62" s="5">
        <f>IF(COUNTIF('同比基准(2025年7月)'!$A:$A,A62)=0,"新增",IF(INDEX('同比基准(2025年7月)'!$B:$B,MATCH(A62,'同比基准(2025年7月)'!$A:$A,0))=0,"",(D62-INDEX('同比基准(2025年7月)'!$B:$B,MATCH(A62,'同比基准(2025年7月)'!$A:$A,0)))/INDEX('同比基准(2025年7月)'!$B:$B,MATCH(A62,'同比基准(2025年7月)'!$A:$A,0))))</f>
        <v/>
      </c>
      <c r="F62" s="4" t="n">
        <v>0</v>
      </c>
      <c r="G62" s="5">
        <f>IF(COUNTIF('同比基准(2025年7月)'!$A:$A,A62)=0,"新增",IF(INDEX('同比基准(2025年7月)'!$C:$C,MATCH(A62,'同比基准(2025年7月)'!$A:$A,0))=0,"",(F62-INDEX('同比基准(2025年7月)'!$C:$C,MATCH(A62,'同比基准(2025年7月)'!$A:$A,0)))/INDEX('同比基准(2025年7月)'!$C:$C,MATCH(A62,'同比基准(2025年7月)'!$A:$A,0))))</f>
        <v/>
      </c>
    </row>
    <row r="63">
      <c r="A63" s="2" t="inlineStr">
        <is>
          <t>京宸里</t>
        </is>
      </c>
      <c r="B63" s="3" t="inlineStr">
        <is>
          <t>餐饮</t>
        </is>
      </c>
      <c r="C63" s="3" t="inlineStr">
        <is>
          <t>特色餐饮</t>
        </is>
      </c>
      <c r="D63" s="4" t="n">
        <v>559919.62</v>
      </c>
      <c r="E63" s="5">
        <f>IF(COUNTIF('同比基准(2025年7月)'!$A:$A,A63)=0,"新增",IF(INDEX('同比基准(2025年7月)'!$B:$B,MATCH(A63,'同比基准(2025年7月)'!$A:$A,0))=0,"",(D63-INDEX('同比基准(2025年7月)'!$B:$B,MATCH(A63,'同比基准(2025年7月)'!$A:$A,0)))/INDEX('同比基准(2025年7月)'!$B:$B,MATCH(A63,'同比基准(2025年7月)'!$A:$A,0))))</f>
        <v/>
      </c>
      <c r="F63" s="4" t="n">
        <v>0</v>
      </c>
      <c r="G63" s="5">
        <f>IF(COUNTIF('同比基准(2025年7月)'!$A:$A,A63)=0,"新增",IF(INDEX('同比基准(2025年7月)'!$C:$C,MATCH(A63,'同比基准(2025年7月)'!$A:$A,0))=0,"",(F63-INDEX('同比基准(2025年7月)'!$C:$C,MATCH(A63,'同比基准(2025年7月)'!$A:$A,0)))/INDEX('同比基准(2025年7月)'!$C:$C,MATCH(A63,'同比基准(2025年7月)'!$A:$A,0))))</f>
        <v/>
      </c>
    </row>
    <row r="64">
      <c r="A64" s="2" t="inlineStr">
        <is>
          <t>六福珠宝</t>
        </is>
      </c>
      <c r="B64" s="3" t="inlineStr">
        <is>
          <t>零售</t>
        </is>
      </c>
      <c r="C64" s="3" t="inlineStr">
        <is>
          <t>钟表/珠宝/高端笔/精品</t>
        </is>
      </c>
      <c r="D64" s="4" t="n">
        <v>556149</v>
      </c>
      <c r="E64" s="5">
        <f>IF(COUNTIF('同比基准(2025年7月)'!$A:$A,A64)=0,"新增",IF(INDEX('同比基准(2025年7月)'!$B:$B,MATCH(A64,'同比基准(2025年7月)'!$A:$A,0))=0,"",(D64-INDEX('同比基准(2025年7月)'!$B:$B,MATCH(A64,'同比基准(2025年7月)'!$A:$A,0)))/INDEX('同比基准(2025年7月)'!$B:$B,MATCH(A64,'同比基准(2025年7月)'!$A:$A,0))))</f>
        <v/>
      </c>
      <c r="F64" s="4" t="n">
        <v>0</v>
      </c>
      <c r="G64" s="5">
        <f>IF(COUNTIF('同比基准(2025年7月)'!$A:$A,A64)=0,"新增",IF(INDEX('同比基准(2025年7月)'!$C:$C,MATCH(A64,'同比基准(2025年7月)'!$A:$A,0))=0,"",(F64-INDEX('同比基准(2025年7月)'!$C:$C,MATCH(A64,'同比基准(2025年7月)'!$A:$A,0)))/INDEX('同比基准(2025年7月)'!$C:$C,MATCH(A64,'同比基准(2025年7月)'!$A:$A,0))))</f>
        <v/>
      </c>
    </row>
    <row r="65">
      <c r="A65" s="2" t="inlineStr">
        <is>
          <t>木屋烧烤</t>
        </is>
      </c>
      <c r="B65" s="3" t="inlineStr">
        <is>
          <t>餐饮</t>
        </is>
      </c>
      <c r="C65" s="3" t="inlineStr">
        <is>
          <t>特色餐饮</t>
        </is>
      </c>
      <c r="D65" s="4" t="n">
        <v>543549.86</v>
      </c>
      <c r="E65" s="5">
        <f>IF(COUNTIF('同比基准(2025年7月)'!$A:$A,A65)=0,"新增",IF(INDEX('同比基准(2025年7月)'!$B:$B,MATCH(A65,'同比基准(2025年7月)'!$A:$A,0))=0,"",(D65-INDEX('同比基准(2025年7月)'!$B:$B,MATCH(A65,'同比基准(2025年7月)'!$A:$A,0)))/INDEX('同比基准(2025年7月)'!$B:$B,MATCH(A65,'同比基准(2025年7月)'!$A:$A,0))))</f>
        <v/>
      </c>
      <c r="F65" s="4" t="n">
        <v>0</v>
      </c>
      <c r="G65" s="5">
        <f>IF(COUNTIF('同比基准(2025年7月)'!$A:$A,A65)=0,"新增",IF(INDEX('同比基准(2025年7月)'!$C:$C,MATCH(A65,'同比基准(2025年7月)'!$A:$A,0))=0,"",(F65-INDEX('同比基准(2025年7月)'!$C:$C,MATCH(A65,'同比基准(2025年7月)'!$A:$A,0)))/INDEX('同比基准(2025年7月)'!$C:$C,MATCH(A65,'同比基准(2025年7月)'!$A:$A,0))))</f>
        <v/>
      </c>
    </row>
    <row r="66">
      <c r="A66" s="2" t="inlineStr">
        <is>
          <t>联想</t>
        </is>
      </c>
      <c r="B66" s="3" t="inlineStr">
        <is>
          <t>零售</t>
        </is>
      </c>
      <c r="C66" s="3" t="inlineStr">
        <is>
          <t>数码电器</t>
        </is>
      </c>
      <c r="D66" s="4" t="n">
        <v>525544</v>
      </c>
      <c r="E66" s="5">
        <f>IF(COUNTIF('同比基准(2025年7月)'!$A:$A,A66)=0,"新增",IF(INDEX('同比基准(2025年7月)'!$B:$B,MATCH(A66,'同比基准(2025年7月)'!$A:$A,0))=0,"",(D66-INDEX('同比基准(2025年7月)'!$B:$B,MATCH(A66,'同比基准(2025年7月)'!$A:$A,0)))/INDEX('同比基准(2025年7月)'!$B:$B,MATCH(A66,'同比基准(2025年7月)'!$A:$A,0))))</f>
        <v/>
      </c>
      <c r="F66" s="4" t="n">
        <v>0</v>
      </c>
      <c r="G66" s="5">
        <f>IF(COUNTIF('同比基准(2025年7月)'!$A:$A,A66)=0,"新增",IF(INDEX('同比基准(2025年7月)'!$C:$C,MATCH(A66,'同比基准(2025年7月)'!$A:$A,0))=0,"",(F66-INDEX('同比基准(2025年7月)'!$C:$C,MATCH(A66,'同比基准(2025年7月)'!$A:$A,0)))/INDEX('同比基准(2025年7月)'!$C:$C,MATCH(A66,'同比基准(2025年7月)'!$A:$A,0))))</f>
        <v/>
      </c>
    </row>
    <row r="67">
      <c r="A67" s="2" t="inlineStr">
        <is>
          <t>潮金</t>
        </is>
      </c>
      <c r="B67" s="3" t="inlineStr">
        <is>
          <t>零售</t>
        </is>
      </c>
      <c r="C67" s="3" t="inlineStr">
        <is>
          <t>钟表/珠宝/高端笔/精品</t>
        </is>
      </c>
      <c r="D67" s="4" t="n">
        <v>519066</v>
      </c>
      <c r="E67" s="5">
        <f>IF(COUNTIF('同比基准(2025年7月)'!$A:$A,A67)=0,"新增",IF(INDEX('同比基准(2025年7月)'!$B:$B,MATCH(A67,'同比基准(2025年7月)'!$A:$A,0))=0,"",(D67-INDEX('同比基准(2025年7月)'!$B:$B,MATCH(A67,'同比基准(2025年7月)'!$A:$A,0)))/INDEX('同比基准(2025年7月)'!$B:$B,MATCH(A67,'同比基准(2025年7月)'!$A:$A,0))))</f>
        <v/>
      </c>
      <c r="F67" s="4" t="n">
        <v>0</v>
      </c>
      <c r="G67" s="5">
        <f>IF(COUNTIF('同比基准(2025年7月)'!$A:$A,A67)=0,"新增",IF(INDEX('同比基准(2025年7月)'!$C:$C,MATCH(A67,'同比基准(2025年7月)'!$A:$A,0))=0,"",(F67-INDEX('同比基准(2025年7月)'!$C:$C,MATCH(A67,'同比基准(2025年7月)'!$A:$A,0)))/INDEX('同比基准(2025年7月)'!$C:$C,MATCH(A67,'同比基准(2025年7月)'!$A:$A,0))))</f>
        <v/>
      </c>
    </row>
    <row r="68">
      <c r="A68" s="2" t="inlineStr">
        <is>
          <t>中国黄金(China Gold)</t>
        </is>
      </c>
      <c r="B68" s="3" t="inlineStr">
        <is>
          <t>零售</t>
        </is>
      </c>
      <c r="C68" s="3" t="inlineStr">
        <is>
          <t>钟表/珠宝/高端笔/精品</t>
        </is>
      </c>
      <c r="D68" s="4" t="n">
        <v>514901</v>
      </c>
      <c r="E68" s="5">
        <f>IF(COUNTIF('同比基准(2025年7月)'!$A:$A,A68)=0,"新增",IF(INDEX('同比基准(2025年7月)'!$B:$B,MATCH(A68,'同比基准(2025年7月)'!$A:$A,0))=0,"",(D68-INDEX('同比基准(2025年7月)'!$B:$B,MATCH(A68,'同比基准(2025年7月)'!$A:$A,0)))/INDEX('同比基准(2025年7月)'!$B:$B,MATCH(A68,'同比基准(2025年7月)'!$A:$A,0))))</f>
        <v/>
      </c>
      <c r="F68" s="4" t="n">
        <v>0</v>
      </c>
      <c r="G68" s="5">
        <f>IF(COUNTIF('同比基准(2025年7月)'!$A:$A,A68)=0,"新增",IF(INDEX('同比基准(2025年7月)'!$C:$C,MATCH(A68,'同比基准(2025年7月)'!$A:$A,0))=0,"",(F68-INDEX('同比基准(2025年7月)'!$C:$C,MATCH(A68,'同比基准(2025年7月)'!$A:$A,0)))/INDEX('同比基准(2025年7月)'!$C:$C,MATCH(A68,'同比基准(2025年7月)'!$A:$A,0))))</f>
        <v/>
      </c>
    </row>
    <row r="69">
      <c r="A69" s="2" t="inlineStr">
        <is>
          <t>詹记(ZANKEE)</t>
        </is>
      </c>
      <c r="B69" s="3" t="inlineStr">
        <is>
          <t>餐饮</t>
        </is>
      </c>
      <c r="C69" s="3" t="inlineStr">
        <is>
          <t>休闲餐饮</t>
        </is>
      </c>
      <c r="D69" s="4" t="n">
        <v>511867.13</v>
      </c>
      <c r="E69" s="5">
        <f>IF(COUNTIF('同比基准(2025年7月)'!$A:$A,A69)=0,"新增",IF(INDEX('同比基准(2025年7月)'!$B:$B,MATCH(A69,'同比基准(2025年7月)'!$A:$A,0))=0,"",(D69-INDEX('同比基准(2025年7月)'!$B:$B,MATCH(A69,'同比基准(2025年7月)'!$A:$A,0)))/INDEX('同比基准(2025年7月)'!$B:$B,MATCH(A69,'同比基准(2025年7月)'!$A:$A,0))))</f>
        <v/>
      </c>
      <c r="F69" s="4" t="n">
        <v>0</v>
      </c>
      <c r="G69" s="5">
        <f>IF(COUNTIF('同比基准(2025年7月)'!$A:$A,A69)=0,"新增",IF(INDEX('同比基准(2025年7月)'!$C:$C,MATCH(A69,'同比基准(2025年7月)'!$A:$A,0))=0,"",(F69-INDEX('同比基准(2025年7月)'!$C:$C,MATCH(A69,'同比基准(2025年7月)'!$A:$A,0)))/INDEX('同比基准(2025年7月)'!$C:$C,MATCH(A69,'同比基准(2025年7月)'!$A:$A,0))))</f>
        <v/>
      </c>
    </row>
    <row r="70">
      <c r="A70" s="2" t="inlineStr">
        <is>
          <t>霸王茶姬</t>
        </is>
      </c>
      <c r="B70" s="3" t="inlineStr">
        <is>
          <t>餐饮</t>
        </is>
      </c>
      <c r="C70" s="3" t="inlineStr">
        <is>
          <t>休闲餐饮</t>
        </is>
      </c>
      <c r="D70" s="4" t="n">
        <v>503493.18</v>
      </c>
      <c r="E70" s="5">
        <f>IF(COUNTIF('同比基准(2025年7月)'!$A:$A,A70)=0,"新增",IF(INDEX('同比基准(2025年7月)'!$B:$B,MATCH(A70,'同比基准(2025年7月)'!$A:$A,0))=0,"",(D70-INDEX('同比基准(2025年7月)'!$B:$B,MATCH(A70,'同比基准(2025年7月)'!$A:$A,0)))/INDEX('同比基准(2025年7月)'!$B:$B,MATCH(A70,'同比基准(2025年7月)'!$A:$A,0))))</f>
        <v/>
      </c>
      <c r="F70" s="4" t="n">
        <v>0</v>
      </c>
      <c r="G70" s="5">
        <f>IF(COUNTIF('同比基准(2025年7月)'!$A:$A,A70)=0,"新增",IF(INDEX('同比基准(2025年7月)'!$C:$C,MATCH(A70,'同比基准(2025年7月)'!$A:$A,0))=0,"",(F70-INDEX('同比基准(2025年7月)'!$C:$C,MATCH(A70,'同比基准(2025年7月)'!$A:$A,0)))/INDEX('同比基准(2025年7月)'!$C:$C,MATCH(A70,'同比基准(2025年7月)'!$A:$A,0))))</f>
        <v/>
      </c>
    </row>
    <row r="71">
      <c r="A71" s="2" t="inlineStr">
        <is>
          <t>老乡鸡</t>
        </is>
      </c>
      <c r="B71" s="3" t="inlineStr">
        <is>
          <t>餐饮</t>
        </is>
      </c>
      <c r="C71" s="3" t="inlineStr">
        <is>
          <t>快餐</t>
        </is>
      </c>
      <c r="D71" s="4" t="n">
        <v>502613.8</v>
      </c>
      <c r="E71" s="5">
        <f>IF(COUNTIF('同比基准(2025年7月)'!$A:$A,A71)=0,"新增",IF(INDEX('同比基准(2025年7月)'!$B:$B,MATCH(A71,'同比基准(2025年7月)'!$A:$A,0))=0,"",(D71-INDEX('同比基准(2025年7月)'!$B:$B,MATCH(A71,'同比基准(2025年7月)'!$A:$A,0)))/INDEX('同比基准(2025年7月)'!$B:$B,MATCH(A71,'同比基准(2025年7月)'!$A:$A,0))))</f>
        <v/>
      </c>
      <c r="F71" s="4" t="n">
        <v>0</v>
      </c>
      <c r="G71" s="5">
        <f>IF(COUNTIF('同比基准(2025年7月)'!$A:$A,A71)=0,"新增",IF(INDEX('同比基准(2025年7月)'!$C:$C,MATCH(A71,'同比基准(2025年7月)'!$A:$A,0))=0,"",(F71-INDEX('同比基准(2025年7月)'!$C:$C,MATCH(A71,'同比基准(2025年7月)'!$A:$A,0)))/INDEX('同比基准(2025年7月)'!$C:$C,MATCH(A71,'同比基准(2025年7月)'!$A:$A,0))))</f>
        <v/>
      </c>
    </row>
    <row r="72">
      <c r="A72" s="2" t="inlineStr">
        <is>
          <t>滩外滩小馆</t>
        </is>
      </c>
      <c r="B72" s="3" t="inlineStr">
        <is>
          <t>餐饮</t>
        </is>
      </c>
      <c r="C72" s="3" t="inlineStr">
        <is>
          <t>特色餐饮</t>
        </is>
      </c>
      <c r="D72" s="4" t="n">
        <v>500631.96</v>
      </c>
      <c r="E72" s="5">
        <f>IF(COUNTIF('同比基准(2025年7月)'!$A:$A,A72)=0,"新增",IF(INDEX('同比基准(2025年7月)'!$B:$B,MATCH(A72,'同比基准(2025年7月)'!$A:$A,0))=0,"",(D72-INDEX('同比基准(2025年7月)'!$B:$B,MATCH(A72,'同比基准(2025年7月)'!$A:$A,0)))/INDEX('同比基准(2025年7月)'!$B:$B,MATCH(A72,'同比基准(2025年7月)'!$A:$A,0))))</f>
        <v/>
      </c>
      <c r="F72" s="4" t="n">
        <v>0</v>
      </c>
      <c r="G72" s="5">
        <f>IF(COUNTIF('同比基准(2025年7月)'!$A:$A,A72)=0,"新增",IF(INDEX('同比基准(2025年7月)'!$C:$C,MATCH(A72,'同比基准(2025年7月)'!$A:$A,0))=0,"",(F72-INDEX('同比基准(2025年7月)'!$C:$C,MATCH(A72,'同比基准(2025年7月)'!$A:$A,0)))/INDEX('同比基准(2025年7月)'!$C:$C,MATCH(A72,'同比基准(2025年7月)'!$A:$A,0))))</f>
        <v/>
      </c>
    </row>
    <row r="73">
      <c r="A73" s="2" t="inlineStr">
        <is>
          <t>影石</t>
        </is>
      </c>
      <c r="B73" s="3" t="inlineStr">
        <is>
          <t>零售</t>
        </is>
      </c>
      <c r="C73" s="3" t="inlineStr">
        <is>
          <t>数码电器</t>
        </is>
      </c>
      <c r="D73" s="4" t="n">
        <v>480366.67</v>
      </c>
      <c r="E73" s="5">
        <f>IF(COUNTIF('同比基准(2025年7月)'!$A:$A,A73)=0,"新增",IF(INDEX('同比基准(2025年7月)'!$B:$B,MATCH(A73,'同比基准(2025年7月)'!$A:$A,0))=0,"",(D73-INDEX('同比基准(2025年7月)'!$B:$B,MATCH(A73,'同比基准(2025年7月)'!$A:$A,0)))/INDEX('同比基准(2025年7月)'!$B:$B,MATCH(A73,'同比基准(2025年7月)'!$A:$A,0))))</f>
        <v/>
      </c>
      <c r="F73" s="4" t="n">
        <v>0</v>
      </c>
      <c r="G73" s="5">
        <f>IF(COUNTIF('同比基准(2025年7月)'!$A:$A,A73)=0,"新增",IF(INDEX('同比基准(2025年7月)'!$C:$C,MATCH(A73,'同比基准(2025年7月)'!$A:$A,0))=0,"",(F73-INDEX('同比基准(2025年7月)'!$C:$C,MATCH(A73,'同比基准(2025年7月)'!$A:$A,0)))/INDEX('同比基准(2025年7月)'!$C:$C,MATCH(A73,'同比基准(2025年7月)'!$A:$A,0))))</f>
        <v/>
      </c>
    </row>
    <row r="74">
      <c r="A74" s="2" t="inlineStr">
        <is>
          <t>小满手工粉</t>
        </is>
      </c>
      <c r="B74" s="3" t="inlineStr">
        <is>
          <t>餐饮</t>
        </is>
      </c>
      <c r="C74" s="3" t="inlineStr">
        <is>
          <t>快餐</t>
        </is>
      </c>
      <c r="D74" s="4" t="n">
        <v>470505.5</v>
      </c>
      <c r="E74" s="5">
        <f>IF(COUNTIF('同比基准(2025年7月)'!$A:$A,A74)=0,"新增",IF(INDEX('同比基准(2025年7月)'!$B:$B,MATCH(A74,'同比基准(2025年7月)'!$A:$A,0))=0,"",(D74-INDEX('同比基准(2025年7月)'!$B:$B,MATCH(A74,'同比基准(2025年7月)'!$A:$A,0)))/INDEX('同比基准(2025年7月)'!$B:$B,MATCH(A74,'同比基准(2025年7月)'!$A:$A,0))))</f>
        <v/>
      </c>
      <c r="F74" s="4" t="n">
        <v>0</v>
      </c>
      <c r="G74" s="5">
        <f>IF(COUNTIF('同比基准(2025年7月)'!$A:$A,A74)=0,"新增",IF(INDEX('同比基准(2025年7月)'!$C:$C,MATCH(A74,'同比基准(2025年7月)'!$A:$A,0))=0,"",(F74-INDEX('同比基准(2025年7月)'!$C:$C,MATCH(A74,'同比基准(2025年7月)'!$A:$A,0)))/INDEX('同比基准(2025年7月)'!$C:$C,MATCH(A74,'同比基准(2025年7月)'!$A:$A,0))))</f>
        <v/>
      </c>
    </row>
    <row r="75">
      <c r="A75" s="2" t="inlineStr">
        <is>
          <t>王奋斗</t>
        </is>
      </c>
      <c r="B75" s="3" t="inlineStr">
        <is>
          <t>餐饮</t>
        </is>
      </c>
      <c r="C75" s="3" t="inlineStr">
        <is>
          <t>特色餐饮</t>
        </is>
      </c>
      <c r="D75" s="4" t="n">
        <v>467074.07</v>
      </c>
      <c r="E75" s="5">
        <f>IF(COUNTIF('同比基准(2025年7月)'!$A:$A,A75)=0,"新增",IF(INDEX('同比基准(2025年7月)'!$B:$B,MATCH(A75,'同比基准(2025年7月)'!$A:$A,0))=0,"",(D75-INDEX('同比基准(2025年7月)'!$B:$B,MATCH(A75,'同比基准(2025年7月)'!$A:$A,0)))/INDEX('同比基准(2025年7月)'!$B:$B,MATCH(A75,'同比基准(2025年7月)'!$A:$A,0))))</f>
        <v/>
      </c>
      <c r="F75" s="4" t="n">
        <v>0</v>
      </c>
      <c r="G75" s="5">
        <f>IF(COUNTIF('同比基准(2025年7月)'!$A:$A,A75)=0,"新增",IF(INDEX('同比基准(2025年7月)'!$C:$C,MATCH(A75,'同比基准(2025年7月)'!$A:$A,0))=0,"",(F75-INDEX('同比基准(2025年7月)'!$C:$C,MATCH(A75,'同比基准(2025年7月)'!$A:$A,0)))/INDEX('同比基准(2025年7月)'!$C:$C,MATCH(A75,'同比基准(2025年7月)'!$A:$A,0))))</f>
        <v/>
      </c>
    </row>
    <row r="76">
      <c r="A76" s="2" t="inlineStr">
        <is>
          <t>唛歌(MAGO)</t>
        </is>
      </c>
      <c r="B76" s="3" t="inlineStr">
        <is>
          <t>娱乐</t>
        </is>
      </c>
      <c r="C76" s="3" t="inlineStr">
        <is>
          <t>成人娱乐</t>
        </is>
      </c>
      <c r="D76" s="4" t="n">
        <v>466675</v>
      </c>
      <c r="E76" s="5">
        <f>IF(COUNTIF('同比基准(2025年7月)'!$A:$A,A76)=0,"新增",IF(INDEX('同比基准(2025年7月)'!$B:$B,MATCH(A76,'同比基准(2025年7月)'!$A:$A,0))=0,"",(D76-INDEX('同比基准(2025年7月)'!$B:$B,MATCH(A76,'同比基准(2025年7月)'!$A:$A,0)))/INDEX('同比基准(2025年7月)'!$B:$B,MATCH(A76,'同比基准(2025年7月)'!$A:$A,0))))</f>
        <v/>
      </c>
      <c r="F76" s="4" t="n">
        <v>0</v>
      </c>
      <c r="G76" s="5">
        <f>IF(COUNTIF('同比基准(2025年7月)'!$A:$A,A76)=0,"新增",IF(INDEX('同比基准(2025年7月)'!$C:$C,MATCH(A76,'同比基准(2025年7月)'!$A:$A,0))=0,"",(F76-INDEX('同比基准(2025年7月)'!$C:$C,MATCH(A76,'同比基准(2025年7月)'!$A:$A,0)))/INDEX('同比基准(2025年7月)'!$C:$C,MATCH(A76,'同比基准(2025年7月)'!$A:$A,0))))</f>
        <v/>
      </c>
    </row>
    <row r="77">
      <c r="A77" s="2" t="inlineStr">
        <is>
          <t>巡湘记</t>
        </is>
      </c>
      <c r="B77" s="3" t="inlineStr">
        <is>
          <t>餐饮</t>
        </is>
      </c>
      <c r="C77" s="3" t="inlineStr">
        <is>
          <t>特色餐饮</t>
        </is>
      </c>
      <c r="D77" s="4" t="n">
        <v>463618.26</v>
      </c>
      <c r="E77" s="5">
        <f>IF(COUNTIF('同比基准(2025年7月)'!$A:$A,A77)=0,"新增",IF(INDEX('同比基准(2025年7月)'!$B:$B,MATCH(A77,'同比基准(2025年7月)'!$A:$A,0))=0,"",(D77-INDEX('同比基准(2025年7月)'!$B:$B,MATCH(A77,'同比基准(2025年7月)'!$A:$A,0)))/INDEX('同比基准(2025年7月)'!$B:$B,MATCH(A77,'同比基准(2025年7月)'!$A:$A,0))))</f>
        <v/>
      </c>
      <c r="F77" s="4" t="n">
        <v>0</v>
      </c>
      <c r="G77" s="5">
        <f>IF(COUNTIF('同比基准(2025年7月)'!$A:$A,A77)=0,"新增",IF(INDEX('同比基准(2025年7月)'!$C:$C,MATCH(A77,'同比基准(2025年7月)'!$A:$A,0))=0,"",(F77-INDEX('同比基准(2025年7月)'!$C:$C,MATCH(A77,'同比基准(2025年7月)'!$A:$A,0)))/INDEX('同比基准(2025年7月)'!$C:$C,MATCH(A77,'同比基准(2025年7月)'!$A:$A,0))))</f>
        <v/>
      </c>
    </row>
    <row r="78">
      <c r="A78" s="2" t="inlineStr">
        <is>
          <t>中国福利彩票</t>
        </is>
      </c>
      <c r="B78" s="3" t="inlineStr">
        <is>
          <t>服务</t>
        </is>
      </c>
      <c r="C78" s="3" t="inlineStr">
        <is>
          <t>配套设施</t>
        </is>
      </c>
      <c r="D78" s="4" t="n">
        <v>443618</v>
      </c>
      <c r="E78" s="5">
        <f>IF(COUNTIF('同比基准(2025年7月)'!$A:$A,A78)=0,"新增",IF(INDEX('同比基准(2025年7月)'!$B:$B,MATCH(A78,'同比基准(2025年7月)'!$A:$A,0))=0,"",(D78-INDEX('同比基准(2025年7月)'!$B:$B,MATCH(A78,'同比基准(2025年7月)'!$A:$A,0)))/INDEX('同比基准(2025年7月)'!$B:$B,MATCH(A78,'同比基准(2025年7月)'!$A:$A,0))))</f>
        <v/>
      </c>
      <c r="F78" s="4" t="n">
        <v>0</v>
      </c>
      <c r="G78" s="5">
        <f>IF(COUNTIF('同比基准(2025年7月)'!$A:$A,A78)=0,"新增",IF(INDEX('同比基准(2025年7月)'!$C:$C,MATCH(A78,'同比基准(2025年7月)'!$A:$A,0))=0,"",(F78-INDEX('同比基准(2025年7月)'!$C:$C,MATCH(A78,'同比基准(2025年7月)'!$A:$A,0)))/INDEX('同比基准(2025年7月)'!$C:$C,MATCH(A78,'同比基准(2025年7月)'!$A:$A,0))))</f>
        <v/>
      </c>
    </row>
    <row r="79">
      <c r="A79" s="2" t="inlineStr">
        <is>
          <t>铁岛铁板烧</t>
        </is>
      </c>
      <c r="B79" s="3" t="inlineStr">
        <is>
          <t>餐饮</t>
        </is>
      </c>
      <c r="C79" s="3" t="inlineStr">
        <is>
          <t>特色餐饮</t>
        </is>
      </c>
      <c r="D79" s="4" t="n">
        <v>437274.66</v>
      </c>
      <c r="E79" s="5">
        <f>IF(COUNTIF('同比基准(2025年7月)'!$A:$A,A79)=0,"新增",IF(INDEX('同比基准(2025年7月)'!$B:$B,MATCH(A79,'同比基准(2025年7月)'!$A:$A,0))=0,"",(D79-INDEX('同比基准(2025年7月)'!$B:$B,MATCH(A79,'同比基准(2025年7月)'!$A:$A,0)))/INDEX('同比基准(2025年7月)'!$B:$B,MATCH(A79,'同比基准(2025年7月)'!$A:$A,0))))</f>
        <v/>
      </c>
      <c r="F79" s="4" t="n">
        <v>0</v>
      </c>
      <c r="G79" s="5">
        <f>IF(COUNTIF('同比基准(2025年7月)'!$A:$A,A79)=0,"新增",IF(INDEX('同比基准(2025年7月)'!$C:$C,MATCH(A79,'同比基准(2025年7月)'!$A:$A,0))=0,"",(F79-INDEX('同比基准(2025年7月)'!$C:$C,MATCH(A79,'同比基准(2025年7月)'!$A:$A,0)))/INDEX('同比基准(2025年7月)'!$C:$C,MATCH(A79,'同比基准(2025年7月)'!$A:$A,0))))</f>
        <v/>
      </c>
    </row>
    <row r="80">
      <c r="A80" s="2" t="inlineStr">
        <is>
          <t>KKV</t>
        </is>
      </c>
      <c r="B80" s="3" t="inlineStr">
        <is>
          <t>零售</t>
        </is>
      </c>
      <c r="C80" s="3" t="inlineStr">
        <is>
          <t>其他配套零售</t>
        </is>
      </c>
      <c r="D80" s="4" t="n">
        <v>436533.82</v>
      </c>
      <c r="E80" s="5">
        <f>IF(COUNTIF('同比基准(2025年7月)'!$A:$A,A80)=0,"新增",IF(INDEX('同比基准(2025年7月)'!$B:$B,MATCH(A80,'同比基准(2025年7月)'!$A:$A,0))=0,"",(D80-INDEX('同比基准(2025年7月)'!$B:$B,MATCH(A80,'同比基准(2025年7月)'!$A:$A,0)))/INDEX('同比基准(2025年7月)'!$B:$B,MATCH(A80,'同比基准(2025年7月)'!$A:$A,0))))</f>
        <v/>
      </c>
      <c r="F80" s="4" t="n">
        <v>0</v>
      </c>
      <c r="G80" s="5">
        <f>IF(COUNTIF('同比基准(2025年7月)'!$A:$A,A80)=0,"新增",IF(INDEX('同比基准(2025年7月)'!$C:$C,MATCH(A80,'同比基准(2025年7月)'!$A:$A,0))=0,"",(F80-INDEX('同比基准(2025年7月)'!$C:$C,MATCH(A80,'同比基准(2025年7月)'!$A:$A,0)))/INDEX('同比基准(2025年7月)'!$C:$C,MATCH(A80,'同比基准(2025年7月)'!$A:$A,0))))</f>
        <v/>
      </c>
    </row>
    <row r="81">
      <c r="A81" s="2" t="inlineStr">
        <is>
          <t>Teennspace</t>
        </is>
      </c>
      <c r="B81" s="3" t="inlineStr">
        <is>
          <t>服务</t>
        </is>
      </c>
      <c r="C81" s="3" t="inlineStr">
        <is>
          <t>儿童教育/儿童服务</t>
        </is>
      </c>
      <c r="D81" s="4" t="n">
        <v>424877</v>
      </c>
      <c r="E81" s="5">
        <f>IF(COUNTIF('同比基准(2025年7月)'!$A:$A,A81)=0,"新增",IF(INDEX('同比基准(2025年7月)'!$B:$B,MATCH(A81,'同比基准(2025年7月)'!$A:$A,0))=0,"",(D81-INDEX('同比基准(2025年7月)'!$B:$B,MATCH(A81,'同比基准(2025年7月)'!$A:$A,0)))/INDEX('同比基准(2025年7月)'!$B:$B,MATCH(A81,'同比基准(2025年7月)'!$A:$A,0))))</f>
        <v/>
      </c>
      <c r="F81" s="4" t="n">
        <v>0</v>
      </c>
      <c r="G81" s="5">
        <f>IF(COUNTIF('同比基准(2025年7月)'!$A:$A,A81)=0,"新增",IF(INDEX('同比基准(2025年7月)'!$C:$C,MATCH(A81,'同比基准(2025年7月)'!$A:$A,0))=0,"",(F81-INDEX('同比基准(2025年7月)'!$C:$C,MATCH(A81,'同比基准(2025年7月)'!$A:$A,0)))/INDEX('同比基准(2025年7月)'!$C:$C,MATCH(A81,'同比基准(2025年7月)'!$A:$A,0))))</f>
        <v/>
      </c>
    </row>
    <row r="82">
      <c r="A82" s="2" t="inlineStr">
        <is>
          <t>你六姐</t>
        </is>
      </c>
      <c r="B82" s="3" t="inlineStr">
        <is>
          <t>餐饮</t>
        </is>
      </c>
      <c r="C82" s="3" t="inlineStr">
        <is>
          <t>快餐</t>
        </is>
      </c>
      <c r="D82" s="4" t="n">
        <v>423988.32</v>
      </c>
      <c r="E82" s="5">
        <f>IF(COUNTIF('同比基准(2025年7月)'!$A:$A,A82)=0,"新增",IF(INDEX('同比基准(2025年7月)'!$B:$B,MATCH(A82,'同比基准(2025年7月)'!$A:$A,0))=0,"",(D82-INDEX('同比基准(2025年7月)'!$B:$B,MATCH(A82,'同比基准(2025年7月)'!$A:$A,0)))/INDEX('同比基准(2025年7月)'!$B:$B,MATCH(A82,'同比基准(2025年7月)'!$A:$A,0))))</f>
        <v/>
      </c>
      <c r="F82" s="4" t="n">
        <v>0</v>
      </c>
      <c r="G82" s="5">
        <f>IF(COUNTIF('同比基准(2025年7月)'!$A:$A,A82)=0,"新增",IF(INDEX('同比基准(2025年7月)'!$C:$C,MATCH(A82,'同比基准(2025年7月)'!$A:$A,0))=0,"",(F82-INDEX('同比基准(2025年7月)'!$C:$C,MATCH(A82,'同比基准(2025年7月)'!$A:$A,0)))/INDEX('同比基准(2025年7月)'!$C:$C,MATCH(A82,'同比基准(2025年7月)'!$A:$A,0))))</f>
        <v/>
      </c>
    </row>
    <row r="83">
      <c r="A83" s="2" t="inlineStr">
        <is>
          <t>云潇潇</t>
        </is>
      </c>
      <c r="B83" s="3" t="inlineStr">
        <is>
          <t>餐饮</t>
        </is>
      </c>
      <c r="C83" s="3" t="inlineStr">
        <is>
          <t>特色餐饮</t>
        </is>
      </c>
      <c r="D83" s="4" t="n">
        <v>421579.81</v>
      </c>
      <c r="E83" s="5">
        <f>IF(COUNTIF('同比基准(2025年7月)'!$A:$A,A83)=0,"新增",IF(INDEX('同比基准(2025年7月)'!$B:$B,MATCH(A83,'同比基准(2025年7月)'!$A:$A,0))=0,"",(D83-INDEX('同比基准(2025年7月)'!$B:$B,MATCH(A83,'同比基准(2025年7月)'!$A:$A,0)))/INDEX('同比基准(2025年7月)'!$B:$B,MATCH(A83,'同比基准(2025年7月)'!$A:$A,0))))</f>
        <v/>
      </c>
      <c r="F83" s="4" t="n">
        <v>0</v>
      </c>
      <c r="G83" s="5">
        <f>IF(COUNTIF('同比基准(2025年7月)'!$A:$A,A83)=0,"新增",IF(INDEX('同比基准(2025年7月)'!$C:$C,MATCH(A83,'同比基准(2025年7月)'!$A:$A,0))=0,"",(F83-INDEX('同比基准(2025年7月)'!$C:$C,MATCH(A83,'同比基准(2025年7月)'!$A:$A,0)))/INDEX('同比基准(2025年7月)'!$C:$C,MATCH(A83,'同比基准(2025年7月)'!$A:$A,0))))</f>
        <v/>
      </c>
    </row>
    <row r="84">
      <c r="A84" s="2" t="inlineStr">
        <is>
          <t>谷田稻香</t>
        </is>
      </c>
      <c r="B84" s="3" t="inlineStr">
        <is>
          <t>餐饮</t>
        </is>
      </c>
      <c r="C84" s="3" t="inlineStr">
        <is>
          <t>快餐</t>
        </is>
      </c>
      <c r="D84" s="4" t="n">
        <v>419296.24</v>
      </c>
      <c r="E84" s="5">
        <f>IF(COUNTIF('同比基准(2025年7月)'!$A:$A,A84)=0,"新增",IF(INDEX('同比基准(2025年7月)'!$B:$B,MATCH(A84,'同比基准(2025年7月)'!$A:$A,0))=0,"",(D84-INDEX('同比基准(2025年7月)'!$B:$B,MATCH(A84,'同比基准(2025年7月)'!$A:$A,0)))/INDEX('同比基准(2025年7月)'!$B:$B,MATCH(A84,'同比基准(2025年7月)'!$A:$A,0))))</f>
        <v/>
      </c>
      <c r="F84" s="4" t="n">
        <v>0</v>
      </c>
      <c r="G84" s="5">
        <f>IF(COUNTIF('同比基准(2025年7月)'!$A:$A,A84)=0,"新增",IF(INDEX('同比基准(2025年7月)'!$C:$C,MATCH(A84,'同比基准(2025年7月)'!$A:$A,0))=0,"",(F84-INDEX('同比基准(2025年7月)'!$C:$C,MATCH(A84,'同比基准(2025年7月)'!$A:$A,0)))/INDEX('同比基准(2025年7月)'!$C:$C,MATCH(A84,'同比基准(2025年7月)'!$A:$A,0))))</f>
        <v/>
      </c>
    </row>
    <row r="85">
      <c r="A85" s="2" t="inlineStr">
        <is>
          <t>陈香贵</t>
        </is>
      </c>
      <c r="B85" s="3" t="inlineStr">
        <is>
          <t>餐饮</t>
        </is>
      </c>
      <c r="C85" s="3" t="inlineStr">
        <is>
          <t>快餐</t>
        </is>
      </c>
      <c r="D85" s="4" t="n">
        <v>415944.38</v>
      </c>
      <c r="E85" s="5">
        <f>IF(COUNTIF('同比基准(2025年7月)'!$A:$A,A85)=0,"新增",IF(INDEX('同比基准(2025年7月)'!$B:$B,MATCH(A85,'同比基准(2025年7月)'!$A:$A,0))=0,"",(D85-INDEX('同比基准(2025年7月)'!$B:$B,MATCH(A85,'同比基准(2025年7月)'!$A:$A,0)))/INDEX('同比基准(2025年7月)'!$B:$B,MATCH(A85,'同比基准(2025年7月)'!$A:$A,0))))</f>
        <v/>
      </c>
      <c r="F85" s="4" t="n">
        <v>6590.61</v>
      </c>
      <c r="G85" s="5">
        <f>IF(COUNTIF('同比基准(2025年7月)'!$A:$A,A85)=0,"新增",IF(INDEX('同比基准(2025年7月)'!$C:$C,MATCH(A85,'同比基准(2025年7月)'!$A:$A,0))=0,"",(F85-INDEX('同比基准(2025年7月)'!$C:$C,MATCH(A85,'同比基准(2025年7月)'!$A:$A,0)))/INDEX('同比基准(2025年7月)'!$C:$C,MATCH(A85,'同比基准(2025年7月)'!$A:$A,0))))</f>
        <v/>
      </c>
    </row>
    <row r="86">
      <c r="A86" s="2" t="inlineStr">
        <is>
          <t>PE Salon</t>
        </is>
      </c>
      <c r="B86" s="3" t="inlineStr">
        <is>
          <t>服务</t>
        </is>
      </c>
      <c r="C86" s="3" t="inlineStr">
        <is>
          <t>美容美体保健</t>
        </is>
      </c>
      <c r="D86" s="4" t="n">
        <v>414455</v>
      </c>
      <c r="E86" s="5">
        <f>IF(COUNTIF('同比基准(2025年7月)'!$A:$A,A86)=0,"新增",IF(INDEX('同比基准(2025年7月)'!$B:$B,MATCH(A86,'同比基准(2025年7月)'!$A:$A,0))=0,"",(D86-INDEX('同比基准(2025年7月)'!$B:$B,MATCH(A86,'同比基准(2025年7月)'!$A:$A,0)))/INDEX('同比基准(2025年7月)'!$B:$B,MATCH(A86,'同比基准(2025年7月)'!$A:$A,0))))</f>
        <v/>
      </c>
      <c r="F86" s="4" t="n">
        <v>0</v>
      </c>
      <c r="G86" s="5">
        <f>IF(COUNTIF('同比基准(2025年7月)'!$A:$A,A86)=0,"新增",IF(INDEX('同比基准(2025年7月)'!$C:$C,MATCH(A86,'同比基准(2025年7月)'!$A:$A,0))=0,"",(F86-INDEX('同比基准(2025年7月)'!$C:$C,MATCH(A86,'同比基准(2025年7月)'!$A:$A,0)))/INDEX('同比基准(2025年7月)'!$C:$C,MATCH(A86,'同比基准(2025年7月)'!$A:$A,0))))</f>
        <v/>
      </c>
    </row>
    <row r="87">
      <c r="A87" s="2" t="inlineStr">
        <is>
          <t>布歌</t>
        </is>
      </c>
      <c r="B87" s="3" t="inlineStr">
        <is>
          <t>餐饮</t>
        </is>
      </c>
      <c r="C87" s="3" t="inlineStr">
        <is>
          <t>休闲餐饮</t>
        </is>
      </c>
      <c r="D87" s="4" t="n">
        <v>412693.78</v>
      </c>
      <c r="E87" s="5">
        <f>IF(COUNTIF('同比基准(2025年7月)'!$A:$A,A87)=0,"新增",IF(INDEX('同比基准(2025年7月)'!$B:$B,MATCH(A87,'同比基准(2025年7月)'!$A:$A,0))=0,"",(D87-INDEX('同比基准(2025年7月)'!$B:$B,MATCH(A87,'同比基准(2025年7月)'!$A:$A,0)))/INDEX('同比基准(2025年7月)'!$B:$B,MATCH(A87,'同比基准(2025年7月)'!$A:$A,0))))</f>
        <v/>
      </c>
      <c r="F87" s="4" t="n">
        <v>17332.6</v>
      </c>
      <c r="G87" s="5">
        <f>IF(COUNTIF('同比基准(2025年7月)'!$A:$A,A87)=0,"新增",IF(INDEX('同比基准(2025年7月)'!$C:$C,MATCH(A87,'同比基准(2025年7月)'!$A:$A,0))=0,"",(F87-INDEX('同比基准(2025年7月)'!$C:$C,MATCH(A87,'同比基准(2025年7月)'!$A:$A,0)))/INDEX('同比基准(2025年7月)'!$C:$C,MATCH(A87,'同比基准(2025年7月)'!$A:$A,0))))</f>
        <v/>
      </c>
    </row>
    <row r="88">
      <c r="A88" s="2" t="inlineStr">
        <is>
          <t>Wagas</t>
        </is>
      </c>
      <c r="B88" s="3" t="inlineStr">
        <is>
          <t>餐饮</t>
        </is>
      </c>
      <c r="C88" s="3" t="inlineStr">
        <is>
          <t>特色餐饮</t>
        </is>
      </c>
      <c r="D88" s="4" t="n">
        <v>410945.05</v>
      </c>
      <c r="E88" s="5">
        <f>IF(COUNTIF('同比基准(2025年7月)'!$A:$A,A88)=0,"新增",IF(INDEX('同比基准(2025年7月)'!$B:$B,MATCH(A88,'同比基准(2025年7月)'!$A:$A,0))=0,"",(D88-INDEX('同比基准(2025年7月)'!$B:$B,MATCH(A88,'同比基准(2025年7月)'!$A:$A,0)))/INDEX('同比基准(2025年7月)'!$B:$B,MATCH(A88,'同比基准(2025年7月)'!$A:$A,0))))</f>
        <v/>
      </c>
      <c r="F88" s="4" t="n">
        <v>0</v>
      </c>
      <c r="G88" s="5">
        <f>IF(COUNTIF('同比基准(2025年7月)'!$A:$A,A88)=0,"新增",IF(INDEX('同比基准(2025年7月)'!$C:$C,MATCH(A88,'同比基准(2025年7月)'!$A:$A,0))=0,"",(F88-INDEX('同比基准(2025年7月)'!$C:$C,MATCH(A88,'同比基准(2025年7月)'!$A:$A,0)))/INDEX('同比基准(2025年7月)'!$C:$C,MATCH(A88,'同比基准(2025年7月)'!$A:$A,0))))</f>
        <v/>
      </c>
    </row>
    <row r="89">
      <c r="A89" s="2" t="inlineStr">
        <is>
          <t>裕莲茶楼</t>
        </is>
      </c>
      <c r="B89" s="3" t="inlineStr">
        <is>
          <t>餐饮</t>
        </is>
      </c>
      <c r="C89" s="3" t="inlineStr">
        <is>
          <t>休闲餐饮</t>
        </is>
      </c>
      <c r="D89" s="4" t="n">
        <v>400645.94</v>
      </c>
      <c r="E89" s="5">
        <f>IF(COUNTIF('同比基准(2025年7月)'!$A:$A,A89)=0,"新增",IF(INDEX('同比基准(2025年7月)'!$B:$B,MATCH(A89,'同比基准(2025年7月)'!$A:$A,0))=0,"",(D89-INDEX('同比基准(2025年7月)'!$B:$B,MATCH(A89,'同比基准(2025年7月)'!$A:$A,0)))/INDEX('同比基准(2025年7月)'!$B:$B,MATCH(A89,'同比基准(2025年7月)'!$A:$A,0))))</f>
        <v/>
      </c>
      <c r="F89" s="4" t="n">
        <v>0</v>
      </c>
      <c r="G89" s="5">
        <f>IF(COUNTIF('同比基准(2025年7月)'!$A:$A,A89)=0,"新增",IF(INDEX('同比基准(2025年7月)'!$C:$C,MATCH(A89,'同比基准(2025年7月)'!$A:$A,0))=0,"",(F89-INDEX('同比基准(2025年7月)'!$C:$C,MATCH(A89,'同比基准(2025年7月)'!$A:$A,0)))/INDEX('同比基准(2025年7月)'!$C:$C,MATCH(A89,'同比基准(2025年7月)'!$A:$A,0))))</f>
        <v/>
      </c>
    </row>
    <row r="90">
      <c r="A90" s="2" t="inlineStr">
        <is>
          <t>热风</t>
        </is>
      </c>
      <c r="B90" s="3" t="inlineStr">
        <is>
          <t>零售</t>
        </is>
      </c>
      <c r="C90" s="3" t="inlineStr">
        <is>
          <t>鞋包</t>
        </is>
      </c>
      <c r="D90" s="4" t="n">
        <v>398073.87</v>
      </c>
      <c r="E90" s="5">
        <f>IF(COUNTIF('同比基准(2025年7月)'!$A:$A,A90)=0,"新增",IF(INDEX('同比基准(2025年7月)'!$B:$B,MATCH(A90,'同比基准(2025年7月)'!$A:$A,0))=0,"",(D90-INDEX('同比基准(2025年7月)'!$B:$B,MATCH(A90,'同比基准(2025年7月)'!$A:$A,0)))/INDEX('同比基准(2025年7月)'!$B:$B,MATCH(A90,'同比基准(2025年7月)'!$A:$A,0))))</f>
        <v/>
      </c>
      <c r="F90" s="4" t="n">
        <v>1467.58</v>
      </c>
      <c r="G90" s="5">
        <f>IF(COUNTIF('同比基准(2025年7月)'!$A:$A,A90)=0,"新增",IF(INDEX('同比基准(2025年7月)'!$C:$C,MATCH(A90,'同比基准(2025年7月)'!$A:$A,0))=0,"",(F90-INDEX('同比基准(2025年7月)'!$C:$C,MATCH(A90,'同比基准(2025年7月)'!$A:$A,0)))/INDEX('同比基准(2025年7月)'!$C:$C,MATCH(A90,'同比基准(2025年7月)'!$A:$A,0))))</f>
        <v/>
      </c>
    </row>
    <row r="91">
      <c r="A91" s="2" t="inlineStr">
        <is>
          <t>芸山季</t>
        </is>
      </c>
      <c r="B91" s="3" t="inlineStr">
        <is>
          <t>餐饮</t>
        </is>
      </c>
      <c r="C91" s="3" t="inlineStr">
        <is>
          <t>特色餐饮</t>
        </is>
      </c>
      <c r="D91" s="4" t="n">
        <v>386519.2</v>
      </c>
      <c r="E91" s="5">
        <f>IF(COUNTIF('同比基准(2025年7月)'!$A:$A,A91)=0,"新增",IF(INDEX('同比基准(2025年7月)'!$B:$B,MATCH(A91,'同比基准(2025年7月)'!$A:$A,0))=0,"",(D91-INDEX('同比基准(2025年7月)'!$B:$B,MATCH(A91,'同比基准(2025年7月)'!$A:$A,0)))/INDEX('同比基准(2025年7月)'!$B:$B,MATCH(A91,'同比基准(2025年7月)'!$A:$A,0))))</f>
        <v/>
      </c>
      <c r="F91" s="4" t="n">
        <v>0</v>
      </c>
      <c r="G91" s="5">
        <f>IF(COUNTIF('同比基准(2025年7月)'!$A:$A,A91)=0,"新增",IF(INDEX('同比基准(2025年7月)'!$C:$C,MATCH(A91,'同比基准(2025年7月)'!$A:$A,0))=0,"",(F91-INDEX('同比基准(2025年7月)'!$C:$C,MATCH(A91,'同比基准(2025年7月)'!$A:$A,0)))/INDEX('同比基准(2025年7月)'!$C:$C,MATCH(A91,'同比基准(2025年7月)'!$A:$A,0))))</f>
        <v/>
      </c>
    </row>
    <row r="92">
      <c r="A92" s="2" t="inlineStr">
        <is>
          <t>天空の城动漫电玩世界</t>
        </is>
      </c>
      <c r="B92" s="3" t="inlineStr">
        <is>
          <t>娱乐</t>
        </is>
      </c>
      <c r="C92" s="3" t="inlineStr">
        <is>
          <t>成人娱乐</t>
        </is>
      </c>
      <c r="D92" s="4" t="n">
        <v>383587.6</v>
      </c>
      <c r="E92" s="5">
        <f>IF(COUNTIF('同比基准(2025年7月)'!$A:$A,A92)=0,"新增",IF(INDEX('同比基准(2025年7月)'!$B:$B,MATCH(A92,'同比基准(2025年7月)'!$A:$A,0))=0,"",(D92-INDEX('同比基准(2025年7月)'!$B:$B,MATCH(A92,'同比基准(2025年7月)'!$A:$A,0)))/INDEX('同比基准(2025年7月)'!$B:$B,MATCH(A92,'同比基准(2025年7月)'!$A:$A,0))))</f>
        <v/>
      </c>
      <c r="F92" s="4" t="n">
        <v>0</v>
      </c>
      <c r="G92" s="5">
        <f>IF(COUNTIF('同比基准(2025年7月)'!$A:$A,A92)=0,"新增",IF(INDEX('同比基准(2025年7月)'!$C:$C,MATCH(A92,'同比基准(2025年7月)'!$A:$A,0))=0,"",(F92-INDEX('同比基准(2025年7月)'!$C:$C,MATCH(A92,'同比基准(2025年7月)'!$A:$A,0)))/INDEX('同比基准(2025年7月)'!$C:$C,MATCH(A92,'同比基准(2025年7月)'!$A:$A,0))))</f>
        <v/>
      </c>
    </row>
    <row r="93">
      <c r="A93" s="2" t="inlineStr">
        <is>
          <t>秦䩊会</t>
        </is>
      </c>
      <c r="B93" s="3" t="inlineStr">
        <is>
          <t>餐饮</t>
        </is>
      </c>
      <c r="C93" s="3" t="inlineStr">
        <is>
          <t>快餐</t>
        </is>
      </c>
      <c r="D93" s="4" t="n">
        <v>382703.09</v>
      </c>
      <c r="E93" s="5">
        <f>IF(COUNTIF('同比基准(2025年7月)'!$A:$A,A93)=0,"新增",IF(INDEX('同比基准(2025年7月)'!$B:$B,MATCH(A93,'同比基准(2025年7月)'!$A:$A,0))=0,"",(D93-INDEX('同比基准(2025年7月)'!$B:$B,MATCH(A93,'同比基准(2025年7月)'!$A:$A,0)))/INDEX('同比基准(2025年7月)'!$B:$B,MATCH(A93,'同比基准(2025年7月)'!$A:$A,0))))</f>
        <v/>
      </c>
      <c r="F93" s="4" t="n">
        <v>0</v>
      </c>
      <c r="G93" s="5">
        <f>IF(COUNTIF('同比基准(2025年7月)'!$A:$A,A93)=0,"新增",IF(INDEX('同比基准(2025年7月)'!$C:$C,MATCH(A93,'同比基准(2025年7月)'!$A:$A,0))=0,"",(F93-INDEX('同比基准(2025年7月)'!$C:$C,MATCH(A93,'同比基准(2025年7月)'!$A:$A,0)))/INDEX('同比基准(2025年7月)'!$C:$C,MATCH(A93,'同比基准(2025年7月)'!$A:$A,0))))</f>
        <v/>
      </c>
    </row>
    <row r="94">
      <c r="A94" s="2" t="inlineStr">
        <is>
          <t>半天妖</t>
        </is>
      </c>
      <c r="B94" s="3" t="inlineStr">
        <is>
          <t>餐饮</t>
        </is>
      </c>
      <c r="C94" s="3" t="inlineStr">
        <is>
          <t>特色餐饮</t>
        </is>
      </c>
      <c r="D94" s="4" t="n">
        <v>376097.68</v>
      </c>
      <c r="E94" s="5">
        <f>IF(COUNTIF('同比基准(2025年7月)'!$A:$A,A94)=0,"新增",IF(INDEX('同比基准(2025年7月)'!$B:$B,MATCH(A94,'同比基准(2025年7月)'!$A:$A,0))=0,"",(D94-INDEX('同比基准(2025年7月)'!$B:$B,MATCH(A94,'同比基准(2025年7月)'!$A:$A,0)))/INDEX('同比基准(2025年7月)'!$B:$B,MATCH(A94,'同比基准(2025年7月)'!$A:$A,0))))</f>
        <v/>
      </c>
      <c r="F94" s="4" t="n">
        <v>0</v>
      </c>
      <c r="G94" s="5">
        <f>IF(COUNTIF('同比基准(2025年7月)'!$A:$A,A94)=0,"新增",IF(INDEX('同比基准(2025年7月)'!$C:$C,MATCH(A94,'同比基准(2025年7月)'!$A:$A,0))=0,"",(F94-INDEX('同比基准(2025年7月)'!$C:$C,MATCH(A94,'同比基准(2025年7月)'!$A:$A,0)))/INDEX('同比基准(2025年7月)'!$C:$C,MATCH(A94,'同比基准(2025年7月)'!$A:$A,0))))</f>
        <v/>
      </c>
    </row>
    <row r="95">
      <c r="A95" s="2" t="inlineStr">
        <is>
          <t>星巴克(STARBUCKS)</t>
        </is>
      </c>
      <c r="B95" s="3" t="inlineStr">
        <is>
          <t>餐饮</t>
        </is>
      </c>
      <c r="C95" s="3" t="inlineStr">
        <is>
          <t>休闲餐饮</t>
        </is>
      </c>
      <c r="D95" s="4" t="n">
        <v>368557.53</v>
      </c>
      <c r="E95" s="5">
        <f>IF(COUNTIF('同比基准(2025年7月)'!$A:$A,A95)=0,"新增",IF(INDEX('同比基准(2025年7月)'!$B:$B,MATCH(A95,'同比基准(2025年7月)'!$A:$A,0))=0,"",(D95-INDEX('同比基准(2025年7月)'!$B:$B,MATCH(A95,'同比基准(2025年7月)'!$A:$A,0)))/INDEX('同比基准(2025年7月)'!$B:$B,MATCH(A95,'同比基准(2025年7月)'!$A:$A,0))))</f>
        <v/>
      </c>
      <c r="F95" s="4" t="n">
        <v>4231.1</v>
      </c>
      <c r="G95" s="5">
        <f>IF(COUNTIF('同比基准(2025年7月)'!$A:$A,A95)=0,"新增",IF(INDEX('同比基准(2025年7月)'!$C:$C,MATCH(A95,'同比基准(2025年7月)'!$A:$A,0))=0,"",(F95-INDEX('同比基准(2025年7月)'!$C:$C,MATCH(A95,'同比基准(2025年7月)'!$A:$A,0)))/INDEX('同比基准(2025年7月)'!$C:$C,MATCH(A95,'同比基准(2025年7月)'!$A:$A,0))))</f>
        <v/>
      </c>
    </row>
    <row r="96">
      <c r="A96" s="2" t="inlineStr">
        <is>
          <t>胡子大厨超级小炒肉</t>
        </is>
      </c>
      <c r="B96" s="3" t="inlineStr">
        <is>
          <t>餐饮</t>
        </is>
      </c>
      <c r="C96" s="3" t="inlineStr">
        <is>
          <t>特色餐饮</t>
        </is>
      </c>
      <c r="D96" s="4" t="n">
        <v>368093.6</v>
      </c>
      <c r="E96" s="5">
        <f>IF(COUNTIF('同比基准(2025年7月)'!$A:$A,A96)=0,"新增",IF(INDEX('同比基准(2025年7月)'!$B:$B,MATCH(A96,'同比基准(2025年7月)'!$A:$A,0))=0,"",(D96-INDEX('同比基准(2025年7月)'!$B:$B,MATCH(A96,'同比基准(2025年7月)'!$A:$A,0)))/INDEX('同比基准(2025年7月)'!$B:$B,MATCH(A96,'同比基准(2025年7月)'!$A:$A,0))))</f>
        <v/>
      </c>
      <c r="F96" s="4" t="n">
        <v>0</v>
      </c>
      <c r="G96" s="5">
        <f>IF(COUNTIF('同比基准(2025年7月)'!$A:$A,A96)=0,"新增",IF(INDEX('同比基准(2025年7月)'!$C:$C,MATCH(A96,'同比基准(2025年7月)'!$A:$A,0))=0,"",(F96-INDEX('同比基准(2025年7月)'!$C:$C,MATCH(A96,'同比基准(2025年7月)'!$A:$A,0)))/INDEX('同比基准(2025年7月)'!$C:$C,MATCH(A96,'同比基准(2025年7月)'!$A:$A,0))))</f>
        <v/>
      </c>
    </row>
    <row r="97">
      <c r="A97" s="2" t="inlineStr">
        <is>
          <t>HERERS</t>
        </is>
      </c>
      <c r="B97" s="3" t="inlineStr">
        <is>
          <t>餐饮</t>
        </is>
      </c>
      <c r="C97" s="3" t="inlineStr">
        <is>
          <t>休闲餐饮</t>
        </is>
      </c>
      <c r="D97" s="4" t="n">
        <v>367782.89</v>
      </c>
      <c r="E97" s="5">
        <f>IF(COUNTIF('同比基准(2025年7月)'!$A:$A,A97)=0,"新增",IF(INDEX('同比基准(2025年7月)'!$B:$B,MATCH(A97,'同比基准(2025年7月)'!$A:$A,0))=0,"",(D97-INDEX('同比基准(2025年7月)'!$B:$B,MATCH(A97,'同比基准(2025年7月)'!$A:$A,0)))/INDEX('同比基准(2025年7月)'!$B:$B,MATCH(A97,'同比基准(2025年7月)'!$A:$A,0))))</f>
        <v/>
      </c>
      <c r="F97" s="4" t="n">
        <v>0</v>
      </c>
      <c r="G97" s="5">
        <f>IF(COUNTIF('同比基准(2025年7月)'!$A:$A,A97)=0,"新增",IF(INDEX('同比基准(2025年7月)'!$C:$C,MATCH(A97,'同比基准(2025年7月)'!$A:$A,0))=0,"",(F97-INDEX('同比基准(2025年7月)'!$C:$C,MATCH(A97,'同比基准(2025年7月)'!$A:$A,0)))/INDEX('同比基准(2025年7月)'!$C:$C,MATCH(A97,'同比基准(2025年7月)'!$A:$A,0))))</f>
        <v/>
      </c>
    </row>
    <row r="98">
      <c r="A98" s="2" t="inlineStr">
        <is>
          <t>麦檬</t>
        </is>
      </c>
      <c r="B98" s="3" t="inlineStr">
        <is>
          <t>零售</t>
        </is>
      </c>
      <c r="C98" s="3" t="inlineStr">
        <is>
          <t>服装服饰</t>
        </is>
      </c>
      <c r="D98" s="4" t="n">
        <v>367186.8</v>
      </c>
      <c r="E98" s="5">
        <f>IF(COUNTIF('同比基准(2025年7月)'!$A:$A,A98)=0,"新增",IF(INDEX('同比基准(2025年7月)'!$B:$B,MATCH(A98,'同比基准(2025年7月)'!$A:$A,0))=0,"",(D98-INDEX('同比基准(2025年7月)'!$B:$B,MATCH(A98,'同比基准(2025年7月)'!$A:$A,0)))/INDEX('同比基准(2025年7月)'!$B:$B,MATCH(A98,'同比基准(2025年7月)'!$A:$A,0))))</f>
        <v/>
      </c>
      <c r="F98" s="4" t="n">
        <v>11884.35</v>
      </c>
      <c r="G98" s="5">
        <f>IF(COUNTIF('同比基准(2025年7月)'!$A:$A,A98)=0,"新增",IF(INDEX('同比基准(2025年7月)'!$C:$C,MATCH(A98,'同比基准(2025年7月)'!$A:$A,0))=0,"",(F98-INDEX('同比基准(2025年7月)'!$C:$C,MATCH(A98,'同比基准(2025年7月)'!$A:$A,0)))/INDEX('同比基准(2025年7月)'!$C:$C,MATCH(A98,'同比基准(2025年7月)'!$A:$A,0))))</f>
        <v/>
      </c>
    </row>
    <row r="99">
      <c r="A99" s="2" t="inlineStr">
        <is>
          <t>玛嘉烈</t>
        </is>
      </c>
      <c r="B99" s="3" t="inlineStr">
        <is>
          <t>餐饮</t>
        </is>
      </c>
      <c r="C99" s="3" t="inlineStr">
        <is>
          <t>特色餐饮</t>
        </is>
      </c>
      <c r="D99" s="4" t="n">
        <v>354918.74</v>
      </c>
      <c r="E99" s="5">
        <f>IF(COUNTIF('同比基准(2025年7月)'!$A:$A,A99)=0,"新增",IF(INDEX('同比基准(2025年7月)'!$B:$B,MATCH(A99,'同比基准(2025年7月)'!$A:$A,0))=0,"",(D99-INDEX('同比基准(2025年7月)'!$B:$B,MATCH(A99,'同比基准(2025年7月)'!$A:$A,0)))/INDEX('同比基准(2025年7月)'!$B:$B,MATCH(A99,'同比基准(2025年7月)'!$A:$A,0))))</f>
        <v/>
      </c>
      <c r="F99" s="4" t="n">
        <v>0</v>
      </c>
      <c r="G99" s="5">
        <f>IF(COUNTIF('同比基准(2025年7月)'!$A:$A,A99)=0,"新增",IF(INDEX('同比基准(2025年7月)'!$C:$C,MATCH(A99,'同比基准(2025年7月)'!$A:$A,0))=0,"",(F99-INDEX('同比基准(2025年7月)'!$C:$C,MATCH(A99,'同比基准(2025年7月)'!$A:$A,0)))/INDEX('同比基准(2025年7月)'!$C:$C,MATCH(A99,'同比基准(2025年7月)'!$A:$A,0))))</f>
        <v/>
      </c>
    </row>
    <row r="100">
      <c r="A100" s="2" t="inlineStr">
        <is>
          <t>剪花娘子</t>
        </is>
      </c>
      <c r="B100" s="3" t="inlineStr">
        <is>
          <t>餐饮</t>
        </is>
      </c>
      <c r="C100" s="3" t="inlineStr">
        <is>
          <t>快餐</t>
        </is>
      </c>
      <c r="D100" s="4" t="n">
        <v>353142.74</v>
      </c>
      <c r="E100" s="5">
        <f>IF(COUNTIF('同比基准(2025年7月)'!$A:$A,A100)=0,"新增",IF(INDEX('同比基准(2025年7月)'!$B:$B,MATCH(A100,'同比基准(2025年7月)'!$A:$A,0))=0,"",(D100-INDEX('同比基准(2025年7月)'!$B:$B,MATCH(A100,'同比基准(2025年7月)'!$A:$A,0)))/INDEX('同比基准(2025年7月)'!$B:$B,MATCH(A100,'同比基准(2025年7月)'!$A:$A,0))))</f>
        <v/>
      </c>
      <c r="F100" s="4" t="n">
        <v>0</v>
      </c>
      <c r="G100" s="5">
        <f>IF(COUNTIF('同比基准(2025年7月)'!$A:$A,A100)=0,"新增",IF(INDEX('同比基准(2025年7月)'!$C:$C,MATCH(A100,'同比基准(2025年7月)'!$A:$A,0))=0,"",(F100-INDEX('同比基准(2025年7月)'!$C:$C,MATCH(A100,'同比基准(2025年7月)'!$A:$A,0)))/INDEX('同比基准(2025年7月)'!$C:$C,MATCH(A100,'同比基准(2025年7月)'!$A:$A,0))))</f>
        <v/>
      </c>
    </row>
    <row r="101">
      <c r="A101" s="2" t="inlineStr">
        <is>
          <t>SALOMON</t>
        </is>
      </c>
      <c r="B101" s="3" t="inlineStr">
        <is>
          <t>零售</t>
        </is>
      </c>
      <c r="C101" s="3" t="inlineStr">
        <is>
          <t>服装服饰</t>
        </is>
      </c>
      <c r="D101" s="4" t="n">
        <v>351798.3</v>
      </c>
      <c r="E101" s="5">
        <f>IF(COUNTIF('同比基准(2025年7月)'!$A:$A,A101)=0,"新增",IF(INDEX('同比基准(2025年7月)'!$B:$B,MATCH(A101,'同比基准(2025年7月)'!$A:$A,0))=0,"",(D101-INDEX('同比基准(2025年7月)'!$B:$B,MATCH(A101,'同比基准(2025年7月)'!$A:$A,0)))/INDEX('同比基准(2025年7月)'!$B:$B,MATCH(A101,'同比基准(2025年7月)'!$A:$A,0))))</f>
        <v/>
      </c>
      <c r="F101" s="4" t="n">
        <v>9434.860000000001</v>
      </c>
      <c r="G101" s="5">
        <f>IF(COUNTIF('同比基准(2025年7月)'!$A:$A,A101)=0,"新增",IF(INDEX('同比基准(2025年7月)'!$C:$C,MATCH(A101,'同比基准(2025年7月)'!$A:$A,0))=0,"",(F101-INDEX('同比基准(2025年7月)'!$C:$C,MATCH(A101,'同比基准(2025年7月)'!$A:$A,0)))/INDEX('同比基准(2025年7月)'!$C:$C,MATCH(A101,'同比基准(2025年7月)'!$A:$A,0))))</f>
        <v/>
      </c>
    </row>
    <row r="102">
      <c r="A102" s="2" t="inlineStr">
        <is>
          <t>肥汁米蘭(FEIZAP MAILAAN)</t>
        </is>
      </c>
      <c r="B102" s="3" t="inlineStr">
        <is>
          <t>餐饮</t>
        </is>
      </c>
      <c r="C102" s="3" t="inlineStr">
        <is>
          <t>快餐</t>
        </is>
      </c>
      <c r="D102" s="4" t="n">
        <v>349196.98</v>
      </c>
      <c r="E102" s="5">
        <f>IF(COUNTIF('同比基准(2025年7月)'!$A:$A,A102)=0,"新增",IF(INDEX('同比基准(2025年7月)'!$B:$B,MATCH(A102,'同比基准(2025年7月)'!$A:$A,0))=0,"",(D102-INDEX('同比基准(2025年7月)'!$B:$B,MATCH(A102,'同比基准(2025年7月)'!$A:$A,0)))/INDEX('同比基准(2025年7月)'!$B:$B,MATCH(A102,'同比基准(2025年7月)'!$A:$A,0))))</f>
        <v/>
      </c>
      <c r="F102" s="4" t="n">
        <v>0</v>
      </c>
      <c r="G102" s="5">
        <f>IF(COUNTIF('同比基准(2025年7月)'!$A:$A,A102)=0,"新增",IF(INDEX('同比基准(2025年7月)'!$C:$C,MATCH(A102,'同比基准(2025年7月)'!$A:$A,0))=0,"",(F102-INDEX('同比基准(2025年7月)'!$C:$C,MATCH(A102,'同比基准(2025年7月)'!$A:$A,0)))/INDEX('同比基准(2025年7月)'!$C:$C,MATCH(A102,'同比基准(2025年7月)'!$A:$A,0))))</f>
        <v/>
      </c>
    </row>
    <row r="103">
      <c r="A103" s="2" t="inlineStr">
        <is>
          <t>FILA</t>
        </is>
      </c>
      <c r="B103" s="3" t="inlineStr">
        <is>
          <t>零售</t>
        </is>
      </c>
      <c r="C103" s="3" t="inlineStr">
        <is>
          <t>服装服饰</t>
        </is>
      </c>
      <c r="D103" s="4" t="n">
        <v>348422.2</v>
      </c>
      <c r="E103" s="5">
        <f>IF(COUNTIF('同比基准(2025年7月)'!$A:$A,A103)=0,"新增",IF(INDEX('同比基准(2025年7月)'!$B:$B,MATCH(A103,'同比基准(2025年7月)'!$A:$A,0))=0,"",(D103-INDEX('同比基准(2025年7月)'!$B:$B,MATCH(A103,'同比基准(2025年7月)'!$A:$A,0)))/INDEX('同比基准(2025年7月)'!$B:$B,MATCH(A103,'同比基准(2025年7月)'!$A:$A,0))))</f>
        <v/>
      </c>
      <c r="F103" s="4" t="n">
        <v>11065.19</v>
      </c>
      <c r="G103" s="5">
        <f>IF(COUNTIF('同比基准(2025年7月)'!$A:$A,A103)=0,"新增",IF(INDEX('同比基准(2025年7月)'!$C:$C,MATCH(A103,'同比基准(2025年7月)'!$A:$A,0))=0,"",(F103-INDEX('同比基准(2025年7月)'!$C:$C,MATCH(A103,'同比基准(2025年7月)'!$A:$A,0)))/INDEX('同比基准(2025年7月)'!$C:$C,MATCH(A103,'同比基准(2025年7月)'!$A:$A,0))))</f>
        <v/>
      </c>
    </row>
    <row r="104">
      <c r="A104" s="2" t="inlineStr">
        <is>
          <t>红渡小香</t>
        </is>
      </c>
      <c r="B104" s="3" t="inlineStr">
        <is>
          <t>餐饮</t>
        </is>
      </c>
      <c r="C104" s="3" t="inlineStr">
        <is>
          <t>快餐</t>
        </is>
      </c>
      <c r="D104" s="4" t="n">
        <v>338508.6</v>
      </c>
      <c r="E104" s="5">
        <f>IF(COUNTIF('同比基准(2025年7月)'!$A:$A,A104)=0,"新增",IF(INDEX('同比基准(2025年7月)'!$B:$B,MATCH(A104,'同比基准(2025年7月)'!$A:$A,0))=0,"",(D104-INDEX('同比基准(2025年7月)'!$B:$B,MATCH(A104,'同比基准(2025年7月)'!$A:$A,0)))/INDEX('同比基准(2025年7月)'!$B:$B,MATCH(A104,'同比基准(2025年7月)'!$A:$A,0))))</f>
        <v/>
      </c>
      <c r="F104" s="4" t="n">
        <v>0</v>
      </c>
      <c r="G104" s="5">
        <f>IF(COUNTIF('同比基准(2025年7月)'!$A:$A,A104)=0,"新增",IF(INDEX('同比基准(2025年7月)'!$C:$C,MATCH(A104,'同比基准(2025年7月)'!$A:$A,0))=0,"",(F104-INDEX('同比基准(2025年7月)'!$C:$C,MATCH(A104,'同比基准(2025年7月)'!$A:$A,0)))/INDEX('同比基准(2025年7月)'!$C:$C,MATCH(A104,'同比基准(2025年7月)'!$A:$A,0))))</f>
        <v/>
      </c>
    </row>
    <row r="105">
      <c r="A105" s="2" t="inlineStr">
        <is>
          <t>鸟贵族</t>
        </is>
      </c>
      <c r="B105" s="3" t="inlineStr">
        <is>
          <t>餐饮</t>
        </is>
      </c>
      <c r="C105" s="3" t="inlineStr">
        <is>
          <t>特色餐饮</t>
        </is>
      </c>
      <c r="D105" s="4" t="n">
        <v>338093.4</v>
      </c>
      <c r="E105" s="5">
        <f>IF(COUNTIF('同比基准(2025年7月)'!$A:$A,A105)=0,"新增",IF(INDEX('同比基准(2025年7月)'!$B:$B,MATCH(A105,'同比基准(2025年7月)'!$A:$A,0))=0,"",(D105-INDEX('同比基准(2025年7月)'!$B:$B,MATCH(A105,'同比基准(2025年7月)'!$A:$A,0)))/INDEX('同比基准(2025年7月)'!$B:$B,MATCH(A105,'同比基准(2025年7月)'!$A:$A,0))))</f>
        <v/>
      </c>
      <c r="F105" s="4" t="n">
        <v>0</v>
      </c>
      <c r="G105" s="5">
        <f>IF(COUNTIF('同比基准(2025年7月)'!$A:$A,A105)=0,"新增",IF(INDEX('同比基准(2025年7月)'!$C:$C,MATCH(A105,'同比基准(2025年7月)'!$A:$A,0))=0,"",(F105-INDEX('同比基准(2025年7月)'!$C:$C,MATCH(A105,'同比基准(2025年7月)'!$A:$A,0)))/INDEX('同比基准(2025年7月)'!$C:$C,MATCH(A105,'同比基准(2025年7月)'!$A:$A,0))))</f>
        <v/>
      </c>
    </row>
    <row r="106">
      <c r="A106" s="2" t="inlineStr">
        <is>
          <t>LOOK眼镜</t>
        </is>
      </c>
      <c r="B106" s="3" t="inlineStr">
        <is>
          <t>零售</t>
        </is>
      </c>
      <c r="C106" s="3" t="inlineStr">
        <is>
          <t>服装服饰</t>
        </is>
      </c>
      <c r="D106" s="4" t="n">
        <v>336424.95</v>
      </c>
      <c r="E106" s="5">
        <f>IF(COUNTIF('同比基准(2025年7月)'!$A:$A,A106)=0,"新增",IF(INDEX('同比基准(2025年7月)'!$B:$B,MATCH(A106,'同比基准(2025年7月)'!$A:$A,0))=0,"",(D106-INDEX('同比基准(2025年7月)'!$B:$B,MATCH(A106,'同比基准(2025年7月)'!$A:$A,0)))/INDEX('同比基准(2025年7月)'!$B:$B,MATCH(A106,'同比基准(2025年7月)'!$A:$A,0))))</f>
        <v/>
      </c>
      <c r="F106" s="4" t="n">
        <v>0</v>
      </c>
      <c r="G106" s="5">
        <f>IF(COUNTIF('同比基准(2025年7月)'!$A:$A,A106)=0,"新增",IF(INDEX('同比基准(2025年7月)'!$C:$C,MATCH(A106,'同比基准(2025年7月)'!$A:$A,0))=0,"",(F106-INDEX('同比基准(2025年7月)'!$C:$C,MATCH(A106,'同比基准(2025年7月)'!$A:$A,0)))/INDEX('同比基准(2025年7月)'!$C:$C,MATCH(A106,'同比基准(2025年7月)'!$A:$A,0))))</f>
        <v/>
      </c>
    </row>
    <row r="107">
      <c r="A107" s="2" t="inlineStr">
        <is>
          <t>The Green Party</t>
        </is>
      </c>
      <c r="B107" s="3" t="inlineStr">
        <is>
          <t>零售</t>
        </is>
      </c>
      <c r="C107" s="3" t="inlineStr">
        <is>
          <t>其他配套零售</t>
        </is>
      </c>
      <c r="D107" s="4" t="n">
        <v>332109.79</v>
      </c>
      <c r="E107" s="5">
        <f>IF(COUNTIF('同比基准(2025年7月)'!$A:$A,A107)=0,"新增",IF(INDEX('同比基准(2025年7月)'!$B:$B,MATCH(A107,'同比基准(2025年7月)'!$A:$A,0))=0,"",(D107-INDEX('同比基准(2025年7月)'!$B:$B,MATCH(A107,'同比基准(2025年7月)'!$A:$A,0)))/INDEX('同比基准(2025年7月)'!$B:$B,MATCH(A107,'同比基准(2025年7月)'!$A:$A,0))))</f>
        <v/>
      </c>
      <c r="F107" s="4" t="n">
        <v>0</v>
      </c>
      <c r="G107" s="5">
        <f>IF(COUNTIF('同比基准(2025年7月)'!$A:$A,A107)=0,"新增",IF(INDEX('同比基准(2025年7月)'!$C:$C,MATCH(A107,'同比基准(2025年7月)'!$A:$A,0))=0,"",(F107-INDEX('同比基准(2025年7月)'!$C:$C,MATCH(A107,'同比基准(2025年7月)'!$A:$A,0)))/INDEX('同比基准(2025年7月)'!$C:$C,MATCH(A107,'同比基准(2025年7月)'!$A:$A,0))))</f>
        <v/>
      </c>
    </row>
    <row r="108">
      <c r="A108" s="2" t="inlineStr">
        <is>
          <t>矢量咖啡,西西弗</t>
        </is>
      </c>
      <c r="B108" s="3" t="inlineStr">
        <is>
          <t>零售</t>
        </is>
      </c>
      <c r="C108" s="3" t="inlineStr">
        <is>
          <t>书店/书城</t>
        </is>
      </c>
      <c r="D108" s="4" t="n">
        <v>325101.73</v>
      </c>
      <c r="E108" s="5">
        <f>IF(COUNTIF('同比基准(2025年7月)'!$A:$A,A108)=0,"新增",IF(INDEX('同比基准(2025年7月)'!$B:$B,MATCH(A108,'同比基准(2025年7月)'!$A:$A,0))=0,"",(D108-INDEX('同比基准(2025年7月)'!$B:$B,MATCH(A108,'同比基准(2025年7月)'!$A:$A,0)))/INDEX('同比基准(2025年7月)'!$B:$B,MATCH(A108,'同比基准(2025年7月)'!$A:$A,0))))</f>
        <v/>
      </c>
      <c r="F108" s="4" t="n">
        <v>0</v>
      </c>
      <c r="G108" s="5">
        <f>IF(COUNTIF('同比基准(2025年7月)'!$A:$A,A108)=0,"新增",IF(INDEX('同比基准(2025年7月)'!$C:$C,MATCH(A108,'同比基准(2025年7月)'!$A:$A,0))=0,"",(F108-INDEX('同比基准(2025年7月)'!$C:$C,MATCH(A108,'同比基准(2025年7月)'!$A:$A,0)))/INDEX('同比基准(2025年7月)'!$C:$C,MATCH(A108,'同比基准(2025年7月)'!$A:$A,0))))</f>
        <v/>
      </c>
    </row>
    <row r="109">
      <c r="A109" s="2" t="inlineStr">
        <is>
          <t>manner</t>
        </is>
      </c>
      <c r="B109" s="3" t="inlineStr">
        <is>
          <t>餐饮</t>
        </is>
      </c>
      <c r="C109" s="3" t="inlineStr">
        <is>
          <t>休闲餐饮</t>
        </is>
      </c>
      <c r="D109" s="4" t="n">
        <v>320584.4</v>
      </c>
      <c r="E109" s="5">
        <f>IF(COUNTIF('同比基准(2025年7月)'!$A:$A,A109)=0,"新增",IF(INDEX('同比基准(2025年7月)'!$B:$B,MATCH(A109,'同比基准(2025年7月)'!$A:$A,0))=0,"",(D109-INDEX('同比基准(2025年7月)'!$B:$B,MATCH(A109,'同比基准(2025年7月)'!$A:$A,0)))/INDEX('同比基准(2025年7月)'!$B:$B,MATCH(A109,'同比基准(2025年7月)'!$A:$A,0))))</f>
        <v/>
      </c>
      <c r="F109" s="4" t="n">
        <v>0</v>
      </c>
      <c r="G109" s="5">
        <f>IF(COUNTIF('同比基准(2025年7月)'!$A:$A,A109)=0,"新增",IF(INDEX('同比基准(2025年7月)'!$C:$C,MATCH(A109,'同比基准(2025年7月)'!$A:$A,0))=0,"",(F109-INDEX('同比基准(2025年7月)'!$C:$C,MATCH(A109,'同比基准(2025年7月)'!$A:$A,0)))/INDEX('同比基准(2025年7月)'!$C:$C,MATCH(A109,'同比基准(2025年7月)'!$A:$A,0))))</f>
        <v/>
      </c>
    </row>
    <row r="110">
      <c r="A110" s="2" t="inlineStr">
        <is>
          <t>宝岛眼镜</t>
        </is>
      </c>
      <c r="B110" s="3" t="inlineStr">
        <is>
          <t>零售</t>
        </is>
      </c>
      <c r="C110" s="3" t="inlineStr">
        <is>
          <t>服装服饰</t>
        </is>
      </c>
      <c r="D110" s="4" t="n">
        <v>316036.27</v>
      </c>
      <c r="E110" s="5">
        <f>IF(COUNTIF('同比基准(2025年7月)'!$A:$A,A110)=0,"新增",IF(INDEX('同比基准(2025年7月)'!$B:$B,MATCH(A110,'同比基准(2025年7月)'!$A:$A,0))=0,"",(D110-INDEX('同比基准(2025年7月)'!$B:$B,MATCH(A110,'同比基准(2025年7月)'!$A:$A,0)))/INDEX('同比基准(2025年7月)'!$B:$B,MATCH(A110,'同比基准(2025年7月)'!$A:$A,0))))</f>
        <v/>
      </c>
      <c r="F110" s="4" t="n">
        <v>0</v>
      </c>
      <c r="G110" s="5">
        <f>IF(COUNTIF('同比基准(2025年7月)'!$A:$A,A110)=0,"新增",IF(INDEX('同比基准(2025年7月)'!$C:$C,MATCH(A110,'同比基准(2025年7月)'!$A:$A,0))=0,"",(F110-INDEX('同比基准(2025年7月)'!$C:$C,MATCH(A110,'同比基准(2025年7月)'!$A:$A,0)))/INDEX('同比基准(2025年7月)'!$C:$C,MATCH(A110,'同比基准(2025年7月)'!$A:$A,0))))</f>
        <v/>
      </c>
    </row>
    <row r="111">
      <c r="A111" s="2" t="inlineStr">
        <is>
          <t>艾诺丝雅诗</t>
        </is>
      </c>
      <c r="B111" s="3" t="inlineStr">
        <is>
          <t>零售</t>
        </is>
      </c>
      <c r="C111" s="3" t="inlineStr">
        <is>
          <t>服装服饰</t>
        </is>
      </c>
      <c r="D111" s="4" t="n">
        <v>311425</v>
      </c>
      <c r="E111" s="5">
        <f>IF(COUNTIF('同比基准(2025年7月)'!$A:$A,A111)=0,"新增",IF(INDEX('同比基准(2025年7月)'!$B:$B,MATCH(A111,'同比基准(2025年7月)'!$A:$A,0))=0,"",(D111-INDEX('同比基准(2025年7月)'!$B:$B,MATCH(A111,'同比基准(2025年7月)'!$A:$A,0)))/INDEX('同比基准(2025年7月)'!$B:$B,MATCH(A111,'同比基准(2025年7月)'!$A:$A,0))))</f>
        <v/>
      </c>
      <c r="F111" s="4" t="n">
        <v>0</v>
      </c>
      <c r="G111" s="5">
        <f>IF(COUNTIF('同比基准(2025年7月)'!$A:$A,A111)=0,"新增",IF(INDEX('同比基准(2025年7月)'!$C:$C,MATCH(A111,'同比基准(2025年7月)'!$A:$A,0))=0,"",(F111-INDEX('同比基准(2025年7月)'!$C:$C,MATCH(A111,'同比基准(2025年7月)'!$A:$A,0)))/INDEX('同比基准(2025年7月)'!$C:$C,MATCH(A111,'同比基准(2025年7月)'!$A:$A,0))))</f>
        <v/>
      </c>
    </row>
    <row r="112">
      <c r="A112" s="2" t="inlineStr">
        <is>
          <t>MONOLOGUE</t>
        </is>
      </c>
      <c r="B112" s="3" t="inlineStr">
        <is>
          <t>零售</t>
        </is>
      </c>
      <c r="C112" s="3" t="inlineStr">
        <is>
          <t>钟表/珠宝/高端笔/精品</t>
        </is>
      </c>
      <c r="D112" s="4" t="n">
        <v>301336</v>
      </c>
      <c r="E112" s="5">
        <f>IF(COUNTIF('同比基准(2025年7月)'!$A:$A,A112)=0,"新增",IF(INDEX('同比基准(2025年7月)'!$B:$B,MATCH(A112,'同比基准(2025年7月)'!$A:$A,0))=0,"",(D112-INDEX('同比基准(2025年7月)'!$B:$B,MATCH(A112,'同比基准(2025年7月)'!$A:$A,0)))/INDEX('同比基准(2025年7月)'!$B:$B,MATCH(A112,'同比基准(2025年7月)'!$A:$A,0))))</f>
        <v/>
      </c>
      <c r="F112" s="4" t="n">
        <v>0</v>
      </c>
      <c r="G112" s="5">
        <f>IF(COUNTIF('同比基准(2025年7月)'!$A:$A,A112)=0,"新增",IF(INDEX('同比基准(2025年7月)'!$C:$C,MATCH(A112,'同比基准(2025年7月)'!$A:$A,0))=0,"",(F112-INDEX('同比基准(2025年7月)'!$C:$C,MATCH(A112,'同比基准(2025年7月)'!$A:$A,0)))/INDEX('同比基准(2025年7月)'!$C:$C,MATCH(A112,'同比基准(2025年7月)'!$A:$A,0))))</f>
        <v/>
      </c>
    </row>
    <row r="113">
      <c r="A113" s="2" t="inlineStr">
        <is>
          <t>麦记牛</t>
        </is>
      </c>
      <c r="B113" s="3" t="inlineStr">
        <is>
          <t>餐饮</t>
        </is>
      </c>
      <c r="C113" s="3" t="inlineStr">
        <is>
          <t>休闲餐饮</t>
        </is>
      </c>
      <c r="D113" s="4" t="n">
        <v>301135.15</v>
      </c>
      <c r="E113" s="5">
        <f>IF(COUNTIF('同比基准(2025年7月)'!$A:$A,A113)=0,"新增",IF(INDEX('同比基准(2025年7月)'!$B:$B,MATCH(A113,'同比基准(2025年7月)'!$A:$A,0))=0,"",(D113-INDEX('同比基准(2025年7月)'!$B:$B,MATCH(A113,'同比基准(2025年7月)'!$A:$A,0)))/INDEX('同比基准(2025年7月)'!$B:$B,MATCH(A113,'同比基准(2025年7月)'!$A:$A,0))))</f>
        <v/>
      </c>
      <c r="F113" s="4" t="n">
        <v>0</v>
      </c>
      <c r="G113" s="5">
        <f>IF(COUNTIF('同比基准(2025年7月)'!$A:$A,A113)=0,"新增",IF(INDEX('同比基准(2025年7月)'!$C:$C,MATCH(A113,'同比基准(2025年7月)'!$A:$A,0))=0,"",(F113-INDEX('同比基准(2025年7月)'!$C:$C,MATCH(A113,'同比基准(2025年7月)'!$A:$A,0)))/INDEX('同比基准(2025年7月)'!$C:$C,MATCH(A113,'同比基准(2025年7月)'!$A:$A,0))))</f>
        <v/>
      </c>
    </row>
    <row r="114">
      <c r="A114" s="2" t="inlineStr">
        <is>
          <t>了岚</t>
        </is>
      </c>
      <c r="B114" s="3" t="inlineStr">
        <is>
          <t>零售</t>
        </is>
      </c>
      <c r="C114" s="3" t="inlineStr">
        <is>
          <t>服装服饰</t>
        </is>
      </c>
      <c r="D114" s="4" t="n">
        <v>300025.68</v>
      </c>
      <c r="E114" s="5">
        <f>IF(COUNTIF('同比基准(2025年7月)'!$A:$A,A114)=0,"新增",IF(INDEX('同比基准(2025年7月)'!$B:$B,MATCH(A114,'同比基准(2025年7月)'!$A:$A,0))=0,"",(D114-INDEX('同比基准(2025年7月)'!$B:$B,MATCH(A114,'同比基准(2025年7月)'!$A:$A,0)))/INDEX('同比基准(2025年7月)'!$B:$B,MATCH(A114,'同比基准(2025年7月)'!$A:$A,0))))</f>
        <v/>
      </c>
      <c r="F114" s="4" t="n">
        <v>264.44</v>
      </c>
      <c r="G114" s="5">
        <f>IF(COUNTIF('同比基准(2025年7月)'!$A:$A,A114)=0,"新增",IF(INDEX('同比基准(2025年7月)'!$C:$C,MATCH(A114,'同比基准(2025年7月)'!$A:$A,0))=0,"",(F114-INDEX('同比基准(2025年7月)'!$C:$C,MATCH(A114,'同比基准(2025年7月)'!$A:$A,0)))/INDEX('同比基准(2025年7月)'!$C:$C,MATCH(A114,'同比基准(2025年7月)'!$A:$A,0))))</f>
        <v/>
      </c>
    </row>
    <row r="115">
      <c r="A115" s="2" t="inlineStr">
        <is>
          <t>蕉下</t>
        </is>
      </c>
      <c r="B115" s="3" t="inlineStr">
        <is>
          <t>零售</t>
        </is>
      </c>
      <c r="C115" s="3" t="inlineStr">
        <is>
          <t>其他配套零售</t>
        </is>
      </c>
      <c r="D115" s="4" t="n">
        <v>296966.65</v>
      </c>
      <c r="E115" s="5">
        <f>IF(COUNTIF('同比基准(2025年7月)'!$A:$A,A115)=0,"新增",IF(INDEX('同比基准(2025年7月)'!$B:$B,MATCH(A115,'同比基准(2025年7月)'!$A:$A,0))=0,"",(D115-INDEX('同比基准(2025年7月)'!$B:$B,MATCH(A115,'同比基准(2025年7月)'!$A:$A,0)))/INDEX('同比基准(2025年7月)'!$B:$B,MATCH(A115,'同比基准(2025年7月)'!$A:$A,0))))</f>
        <v/>
      </c>
      <c r="F115" s="4" t="n">
        <v>0</v>
      </c>
      <c r="G115" s="5">
        <f>IF(COUNTIF('同比基准(2025年7月)'!$A:$A,A115)=0,"新增",IF(INDEX('同比基准(2025年7月)'!$C:$C,MATCH(A115,'同比基准(2025年7月)'!$A:$A,0))=0,"",(F115-INDEX('同比基准(2025年7月)'!$C:$C,MATCH(A115,'同比基准(2025年7月)'!$A:$A,0)))/INDEX('同比基准(2025年7月)'!$C:$C,MATCH(A115,'同比基准(2025年7月)'!$A:$A,0))))</f>
        <v/>
      </c>
    </row>
    <row r="116">
      <c r="A116" s="2" t="inlineStr">
        <is>
          <t>城隍珠宝总汇</t>
        </is>
      </c>
      <c r="B116" s="3" t="inlineStr">
        <is>
          <t>零售</t>
        </is>
      </c>
      <c r="C116" s="3" t="inlineStr">
        <is>
          <t>钟表/珠宝/高端笔/精品</t>
        </is>
      </c>
      <c r="D116" s="4" t="n">
        <v>290906</v>
      </c>
      <c r="E116" s="5">
        <f>IF(COUNTIF('同比基准(2025年7月)'!$A:$A,A116)=0,"新增",IF(INDEX('同比基准(2025年7月)'!$B:$B,MATCH(A116,'同比基准(2025年7月)'!$A:$A,0))=0,"",(D116-INDEX('同比基准(2025年7月)'!$B:$B,MATCH(A116,'同比基准(2025年7月)'!$A:$A,0)))/INDEX('同比基准(2025年7月)'!$B:$B,MATCH(A116,'同比基准(2025年7月)'!$A:$A,0))))</f>
        <v/>
      </c>
      <c r="F116" s="4" t="n">
        <v>0</v>
      </c>
      <c r="G116" s="5">
        <f>IF(COUNTIF('同比基准(2025年7月)'!$A:$A,A116)=0,"新增",IF(INDEX('同比基准(2025年7月)'!$C:$C,MATCH(A116,'同比基准(2025年7月)'!$A:$A,0))=0,"",(F116-INDEX('同比基准(2025年7月)'!$C:$C,MATCH(A116,'同比基准(2025年7月)'!$A:$A,0)))/INDEX('同比基准(2025年7月)'!$C:$C,MATCH(A116,'同比基准(2025年7月)'!$A:$A,0))))</f>
        <v/>
      </c>
    </row>
    <row r="117">
      <c r="A117" s="2" t="inlineStr">
        <is>
          <t>森马</t>
        </is>
      </c>
      <c r="B117" s="3" t="inlineStr">
        <is>
          <t>零售</t>
        </is>
      </c>
      <c r="C117" s="3" t="inlineStr">
        <is>
          <t>服装服饰</t>
        </is>
      </c>
      <c r="D117" s="4" t="n">
        <v>290780.7</v>
      </c>
      <c r="E117" s="5">
        <f>IF(COUNTIF('同比基准(2025年7月)'!$A:$A,A117)=0,"新增",IF(INDEX('同比基准(2025年7月)'!$B:$B,MATCH(A117,'同比基准(2025年7月)'!$A:$A,0))=0,"",(D117-INDEX('同比基准(2025年7月)'!$B:$B,MATCH(A117,'同比基准(2025年7月)'!$A:$A,0)))/INDEX('同比基准(2025年7月)'!$B:$B,MATCH(A117,'同比基准(2025年7月)'!$A:$A,0))))</f>
        <v/>
      </c>
      <c r="F117" s="4" t="n">
        <v>0</v>
      </c>
      <c r="G117" s="5">
        <f>IF(COUNTIF('同比基准(2025年7月)'!$A:$A,A117)=0,"新增",IF(INDEX('同比基准(2025年7月)'!$C:$C,MATCH(A117,'同比基准(2025年7月)'!$A:$A,0))=0,"",(F117-INDEX('同比基准(2025年7月)'!$C:$C,MATCH(A117,'同比基准(2025年7月)'!$A:$A,0)))/INDEX('同比基准(2025年7月)'!$C:$C,MATCH(A117,'同比基准(2025年7月)'!$A:$A,0))))</f>
        <v/>
      </c>
    </row>
    <row r="118">
      <c r="A118" s="2" t="inlineStr">
        <is>
          <t>Peet's Coffee</t>
        </is>
      </c>
      <c r="B118" s="3" t="inlineStr">
        <is>
          <t>餐饮</t>
        </is>
      </c>
      <c r="C118" s="3" t="inlineStr">
        <is>
          <t>休闲餐饮</t>
        </is>
      </c>
      <c r="D118" s="4" t="n">
        <v>284471</v>
      </c>
      <c r="E118" s="5">
        <f>IF(COUNTIF('同比基准(2025年7月)'!$A:$A,A118)=0,"新增",IF(INDEX('同比基准(2025年7月)'!$B:$B,MATCH(A118,'同比基准(2025年7月)'!$A:$A,0))=0,"",(D118-INDEX('同比基准(2025年7月)'!$B:$B,MATCH(A118,'同比基准(2025年7月)'!$A:$A,0)))/INDEX('同比基准(2025年7月)'!$B:$B,MATCH(A118,'同比基准(2025年7月)'!$A:$A,0))))</f>
        <v/>
      </c>
      <c r="F118" s="4" t="n">
        <v>0</v>
      </c>
      <c r="G118" s="5">
        <f>IF(COUNTIF('同比基准(2025年7月)'!$A:$A,A118)=0,"新增",IF(INDEX('同比基准(2025年7月)'!$C:$C,MATCH(A118,'同比基准(2025年7月)'!$A:$A,0))=0,"",(F118-INDEX('同比基准(2025年7月)'!$C:$C,MATCH(A118,'同比基准(2025年7月)'!$A:$A,0)))/INDEX('同比基准(2025年7月)'!$C:$C,MATCH(A118,'同比基准(2025年7月)'!$A:$A,0))))</f>
        <v/>
      </c>
    </row>
    <row r="119">
      <c r="A119" s="2" t="inlineStr">
        <is>
          <t>浪琴</t>
        </is>
      </c>
      <c r="B119" s="3" t="inlineStr">
        <is>
          <t>零售</t>
        </is>
      </c>
      <c r="C119" s="3" t="inlineStr">
        <is>
          <t>钟表/珠宝/高端笔/精品</t>
        </is>
      </c>
      <c r="D119" s="4" t="n">
        <v>279242</v>
      </c>
      <c r="E119" s="5">
        <f>IF(COUNTIF('同比基准(2025年7月)'!$A:$A,A119)=0,"新增",IF(INDEX('同比基准(2025年7月)'!$B:$B,MATCH(A119,'同比基准(2025年7月)'!$A:$A,0))=0,"",(D119-INDEX('同比基准(2025年7月)'!$B:$B,MATCH(A119,'同比基准(2025年7月)'!$A:$A,0)))/INDEX('同比基准(2025年7月)'!$B:$B,MATCH(A119,'同比基准(2025年7月)'!$A:$A,0))))</f>
        <v/>
      </c>
      <c r="F119" s="4" t="n">
        <v>0</v>
      </c>
      <c r="G119" s="5">
        <f>IF(COUNTIF('同比基准(2025年7月)'!$A:$A,A119)=0,"新增",IF(INDEX('同比基准(2025年7月)'!$C:$C,MATCH(A119,'同比基准(2025年7月)'!$A:$A,0))=0,"",(F119-INDEX('同比基准(2025年7月)'!$C:$C,MATCH(A119,'同比基准(2025年7月)'!$A:$A,0)))/INDEX('同比基准(2025年7月)'!$C:$C,MATCH(A119,'同比基准(2025年7月)'!$A:$A,0))))</f>
        <v/>
      </c>
    </row>
    <row r="120">
      <c r="A120" s="2" t="inlineStr">
        <is>
          <t>食其家(SUKIYA)</t>
        </is>
      </c>
      <c r="B120" s="3" t="inlineStr">
        <is>
          <t>餐饮</t>
        </is>
      </c>
      <c r="C120" s="3" t="inlineStr">
        <is>
          <t>快餐</t>
        </is>
      </c>
      <c r="D120" s="4" t="n">
        <v>276729.69</v>
      </c>
      <c r="E120" s="5">
        <f>IF(COUNTIF('同比基准(2025年7月)'!$A:$A,A120)=0,"新增",IF(INDEX('同比基准(2025年7月)'!$B:$B,MATCH(A120,'同比基准(2025年7月)'!$A:$A,0))=0,"",(D120-INDEX('同比基准(2025年7月)'!$B:$B,MATCH(A120,'同比基准(2025年7月)'!$A:$A,0)))/INDEX('同比基准(2025年7月)'!$B:$B,MATCH(A120,'同比基准(2025年7月)'!$A:$A,0))))</f>
        <v/>
      </c>
      <c r="F120" s="4" t="n">
        <v>0</v>
      </c>
      <c r="G120" s="5">
        <f>IF(COUNTIF('同比基准(2025年7月)'!$A:$A,A120)=0,"新增",IF(INDEX('同比基准(2025年7月)'!$C:$C,MATCH(A120,'同比基准(2025年7月)'!$A:$A,0))=0,"",(F120-INDEX('同比基准(2025年7月)'!$C:$C,MATCH(A120,'同比基准(2025年7月)'!$A:$A,0)))/INDEX('同比基准(2025年7月)'!$C:$C,MATCH(A120,'同比基准(2025年7月)'!$A:$A,0))))</f>
        <v/>
      </c>
    </row>
    <row r="121">
      <c r="A121" s="2" t="inlineStr">
        <is>
          <t>周大生</t>
        </is>
      </c>
      <c r="B121" s="3" t="inlineStr">
        <is>
          <t>零售</t>
        </is>
      </c>
      <c r="C121" s="3" t="inlineStr">
        <is>
          <t>钟表/珠宝/高端笔/精品</t>
        </is>
      </c>
      <c r="D121" s="4" t="n">
        <v>275570.8</v>
      </c>
      <c r="E121" s="5">
        <f>IF(COUNTIF('同比基准(2025年7月)'!$A:$A,A121)=0,"新增",IF(INDEX('同比基准(2025年7月)'!$B:$B,MATCH(A121,'同比基准(2025年7月)'!$A:$A,0))=0,"",(D121-INDEX('同比基准(2025年7月)'!$B:$B,MATCH(A121,'同比基准(2025年7月)'!$A:$A,0)))/INDEX('同比基准(2025年7月)'!$B:$B,MATCH(A121,'同比基准(2025年7月)'!$A:$A,0))))</f>
        <v/>
      </c>
      <c r="F121" s="4" t="n">
        <v>0</v>
      </c>
      <c r="G121" s="5">
        <f>IF(COUNTIF('同比基准(2025年7月)'!$A:$A,A121)=0,"新增",IF(INDEX('同比基准(2025年7月)'!$C:$C,MATCH(A121,'同比基准(2025年7月)'!$A:$A,0))=0,"",(F121-INDEX('同比基准(2025年7月)'!$C:$C,MATCH(A121,'同比基准(2025年7月)'!$A:$A,0)))/INDEX('同比基准(2025年7月)'!$C:$C,MATCH(A121,'同比基准(2025年7月)'!$A:$A,0))))</f>
        <v/>
      </c>
    </row>
    <row r="122">
      <c r="A122" s="2" t="inlineStr">
        <is>
          <t>西町村屋</t>
        </is>
      </c>
      <c r="B122" s="3" t="inlineStr">
        <is>
          <t>零售</t>
        </is>
      </c>
      <c r="C122" s="3" t="inlineStr">
        <is>
          <t>服装服饰</t>
        </is>
      </c>
      <c r="D122" s="4" t="n">
        <v>273620.92</v>
      </c>
      <c r="E122" s="5">
        <f>IF(COUNTIF('同比基准(2025年7月)'!$A:$A,A122)=0,"新增",IF(INDEX('同比基准(2025年7月)'!$B:$B,MATCH(A122,'同比基准(2025年7月)'!$A:$A,0))=0,"",(D122-INDEX('同比基准(2025年7月)'!$B:$B,MATCH(A122,'同比基准(2025年7月)'!$A:$A,0)))/INDEX('同比基准(2025年7月)'!$B:$B,MATCH(A122,'同比基准(2025年7月)'!$A:$A,0))))</f>
        <v/>
      </c>
      <c r="F122" s="4" t="n">
        <v>0</v>
      </c>
      <c r="G122" s="5">
        <f>IF(COUNTIF('同比基准(2025年7月)'!$A:$A,A122)=0,"新增",IF(INDEX('同比基准(2025年7月)'!$C:$C,MATCH(A122,'同比基准(2025年7月)'!$A:$A,0))=0,"",(F122-INDEX('同比基准(2025年7月)'!$C:$C,MATCH(A122,'同比基准(2025年7月)'!$A:$A,0)))/INDEX('同比基准(2025年7月)'!$C:$C,MATCH(A122,'同比基准(2025年7月)'!$A:$A,0))))</f>
        <v/>
      </c>
    </row>
    <row r="123">
      <c r="A123" s="2" t="inlineStr">
        <is>
          <t>林清轩</t>
        </is>
      </c>
      <c r="B123" s="3" t="inlineStr">
        <is>
          <t>零售</t>
        </is>
      </c>
      <c r="C123" s="3" t="inlineStr">
        <is>
          <t>化妆品</t>
        </is>
      </c>
      <c r="D123" s="4" t="n">
        <v>273163.97</v>
      </c>
      <c r="E123" s="5">
        <f>IF(COUNTIF('同比基准(2025年7月)'!$A:$A,A123)=0,"新增",IF(INDEX('同比基准(2025年7月)'!$B:$B,MATCH(A123,'同比基准(2025年7月)'!$A:$A,0))=0,"",(D123-INDEX('同比基准(2025年7月)'!$B:$B,MATCH(A123,'同比基准(2025年7月)'!$A:$A,0)))/INDEX('同比基准(2025年7月)'!$B:$B,MATCH(A123,'同比基准(2025年7月)'!$A:$A,0))))</f>
        <v/>
      </c>
      <c r="F123" s="4" t="n">
        <v>2067.8</v>
      </c>
      <c r="G123" s="5">
        <f>IF(COUNTIF('同比基准(2025年7月)'!$A:$A,A123)=0,"新增",IF(INDEX('同比基准(2025年7月)'!$C:$C,MATCH(A123,'同比基准(2025年7月)'!$A:$A,0))=0,"",(F123-INDEX('同比基准(2025年7月)'!$C:$C,MATCH(A123,'同比基准(2025年7月)'!$A:$A,0)))/INDEX('同比基准(2025年7月)'!$C:$C,MATCH(A123,'同比基准(2025年7月)'!$A:$A,0))))</f>
        <v/>
      </c>
    </row>
    <row r="124">
      <c r="A124" s="2" t="inlineStr">
        <is>
          <t>茉莉奶白</t>
        </is>
      </c>
      <c r="B124" s="3" t="inlineStr">
        <is>
          <t>餐饮</t>
        </is>
      </c>
      <c r="C124" s="3" t="inlineStr">
        <is>
          <t>休闲餐饮</t>
        </is>
      </c>
      <c r="D124" s="4" t="n">
        <v>265155.21</v>
      </c>
      <c r="E124" s="5">
        <f>IF(COUNTIF('同比基准(2025年7月)'!$A:$A,A124)=0,"新增",IF(INDEX('同比基准(2025年7月)'!$B:$B,MATCH(A124,'同比基准(2025年7月)'!$A:$A,0))=0,"",(D124-INDEX('同比基准(2025年7月)'!$B:$B,MATCH(A124,'同比基准(2025年7月)'!$A:$A,0)))/INDEX('同比基准(2025年7月)'!$B:$B,MATCH(A124,'同比基准(2025年7月)'!$A:$A,0))))</f>
        <v/>
      </c>
      <c r="F124" s="4" t="n">
        <v>0</v>
      </c>
      <c r="G124" s="5">
        <f>IF(COUNTIF('同比基准(2025年7月)'!$A:$A,A124)=0,"新增",IF(INDEX('同比基准(2025年7月)'!$C:$C,MATCH(A124,'同比基准(2025年7月)'!$A:$A,0))=0,"",(F124-INDEX('同比基准(2025年7月)'!$C:$C,MATCH(A124,'同比基准(2025年7月)'!$A:$A,0)))/INDEX('同比基准(2025年7月)'!$C:$C,MATCH(A124,'同比基准(2025年7月)'!$A:$A,0))))</f>
        <v/>
      </c>
    </row>
    <row r="125">
      <c r="A125" s="2" t="inlineStr">
        <is>
          <t>阿玛施</t>
        </is>
      </c>
      <c r="B125" s="3" t="inlineStr">
        <is>
          <t>零售</t>
        </is>
      </c>
      <c r="C125" s="3" t="inlineStr">
        <is>
          <t>服装服饰</t>
        </is>
      </c>
      <c r="D125" s="4" t="n">
        <v>259680</v>
      </c>
      <c r="E125" s="5">
        <f>IF(COUNTIF('同比基准(2025年7月)'!$A:$A,A125)=0,"新增",IF(INDEX('同比基准(2025年7月)'!$B:$B,MATCH(A125,'同比基准(2025年7月)'!$A:$A,0))=0,"",(D125-INDEX('同比基准(2025年7月)'!$B:$B,MATCH(A125,'同比基准(2025年7月)'!$A:$A,0)))/INDEX('同比基准(2025年7月)'!$B:$B,MATCH(A125,'同比基准(2025年7月)'!$A:$A,0))))</f>
        <v/>
      </c>
      <c r="F125" s="4" t="n">
        <v>0</v>
      </c>
      <c r="G125" s="5">
        <f>IF(COUNTIF('同比基准(2025年7月)'!$A:$A,A125)=0,"新增",IF(INDEX('同比基准(2025年7月)'!$C:$C,MATCH(A125,'同比基准(2025年7月)'!$A:$A,0))=0,"",(F125-INDEX('同比基准(2025年7月)'!$C:$C,MATCH(A125,'同比基准(2025年7月)'!$A:$A,0)))/INDEX('同比基准(2025年7月)'!$C:$C,MATCH(A125,'同比基准(2025年7月)'!$A:$A,0))))</f>
        <v/>
      </c>
    </row>
    <row r="126">
      <c r="A126" s="2" t="inlineStr">
        <is>
          <t>杂物社</t>
        </is>
      </c>
      <c r="B126" s="3" t="inlineStr">
        <is>
          <t>零售</t>
        </is>
      </c>
      <c r="C126" s="3" t="inlineStr">
        <is>
          <t>其他配套零售</t>
        </is>
      </c>
      <c r="D126" s="4" t="n">
        <v>256759.58</v>
      </c>
      <c r="E126" s="5">
        <f>IF(COUNTIF('同比基准(2025年7月)'!$A:$A,A126)=0,"新增",IF(INDEX('同比基准(2025年7月)'!$B:$B,MATCH(A126,'同比基准(2025年7月)'!$A:$A,0))=0,"",(D126-INDEX('同比基准(2025年7月)'!$B:$B,MATCH(A126,'同比基准(2025年7月)'!$A:$A,0)))/INDEX('同比基准(2025年7月)'!$B:$B,MATCH(A126,'同比基准(2025年7月)'!$A:$A,0))))</f>
        <v/>
      </c>
      <c r="F126" s="4" t="n">
        <v>0</v>
      </c>
      <c r="G126" s="5">
        <f>IF(COUNTIF('同比基准(2025年7月)'!$A:$A,A126)=0,"新增",IF(INDEX('同比基准(2025年7月)'!$C:$C,MATCH(A126,'同比基准(2025年7月)'!$A:$A,0))=0,"",(F126-INDEX('同比基准(2025年7月)'!$C:$C,MATCH(A126,'同比基准(2025年7月)'!$A:$A,0)))/INDEX('同比基准(2025年7月)'!$C:$C,MATCH(A126,'同比基准(2025年7月)'!$A:$A,0))))</f>
        <v/>
      </c>
    </row>
    <row r="127">
      <c r="A127" s="2" t="inlineStr">
        <is>
          <t>龍偶像LOX学院</t>
        </is>
      </c>
      <c r="B127" s="3" t="inlineStr">
        <is>
          <t>服务</t>
        </is>
      </c>
      <c r="C127" s="3" t="inlineStr">
        <is>
          <t>成人培训</t>
        </is>
      </c>
      <c r="D127" s="4" t="n">
        <v>251056</v>
      </c>
      <c r="E127" s="5">
        <f>IF(COUNTIF('同比基准(2025年7月)'!$A:$A,A127)=0,"新增",IF(INDEX('同比基准(2025年7月)'!$B:$B,MATCH(A127,'同比基准(2025年7月)'!$A:$A,0))=0,"",(D127-INDEX('同比基准(2025年7月)'!$B:$B,MATCH(A127,'同比基准(2025年7月)'!$A:$A,0)))/INDEX('同比基准(2025年7月)'!$B:$B,MATCH(A127,'同比基准(2025年7月)'!$A:$A,0))))</f>
        <v/>
      </c>
      <c r="F127" s="4" t="n">
        <v>0</v>
      </c>
      <c r="G127" s="5">
        <f>IF(COUNTIF('同比基准(2025年7月)'!$A:$A,A127)=0,"新增",IF(INDEX('同比基准(2025年7月)'!$C:$C,MATCH(A127,'同比基准(2025年7月)'!$A:$A,0))=0,"",(F127-INDEX('同比基准(2025年7月)'!$C:$C,MATCH(A127,'同比基准(2025年7月)'!$A:$A,0)))/INDEX('同比基准(2025年7月)'!$C:$C,MATCH(A127,'同比基准(2025年7月)'!$A:$A,0))))</f>
        <v/>
      </c>
    </row>
    <row r="128">
      <c r="A128" s="2" t="inlineStr">
        <is>
          <t>依茉朵</t>
        </is>
      </c>
      <c r="B128" s="3" t="inlineStr">
        <is>
          <t>餐饮</t>
        </is>
      </c>
      <c r="C128" s="3" t="inlineStr">
        <is>
          <t>休闲餐饮</t>
        </is>
      </c>
      <c r="D128" s="4" t="n">
        <v>247882.47</v>
      </c>
      <c r="E128" s="5">
        <f>IF(COUNTIF('同比基准(2025年7月)'!$A:$A,A128)=0,"新增",IF(INDEX('同比基准(2025年7月)'!$B:$B,MATCH(A128,'同比基准(2025年7月)'!$A:$A,0))=0,"",(D128-INDEX('同比基准(2025年7月)'!$B:$B,MATCH(A128,'同比基准(2025年7月)'!$A:$A,0)))/INDEX('同比基准(2025年7月)'!$B:$B,MATCH(A128,'同比基准(2025年7月)'!$A:$A,0))))</f>
        <v/>
      </c>
      <c r="F128" s="4" t="n">
        <v>0</v>
      </c>
      <c r="G128" s="5">
        <f>IF(COUNTIF('同比基准(2025年7月)'!$A:$A,A128)=0,"新增",IF(INDEX('同比基准(2025年7月)'!$C:$C,MATCH(A128,'同比基准(2025年7月)'!$A:$A,0))=0,"",(F128-INDEX('同比基准(2025年7月)'!$C:$C,MATCH(A128,'同比基准(2025年7月)'!$A:$A,0)))/INDEX('同比基准(2025年7月)'!$C:$C,MATCH(A128,'同比基准(2025年7月)'!$A:$A,0))))</f>
        <v/>
      </c>
    </row>
    <row r="129">
      <c r="A129" s="2" t="inlineStr">
        <is>
          <t>捷蒲</t>
        </is>
      </c>
      <c r="B129" s="3" t="inlineStr">
        <is>
          <t>零售</t>
        </is>
      </c>
      <c r="C129" s="3" t="inlineStr">
        <is>
          <t>其他配套零售</t>
        </is>
      </c>
      <c r="D129" s="4" t="n">
        <v>247841.5</v>
      </c>
      <c r="E129" s="5">
        <f>IF(COUNTIF('同比基准(2025年7月)'!$A:$A,A129)=0,"新增",IF(INDEX('同比基准(2025年7月)'!$B:$B,MATCH(A129,'同比基准(2025年7月)'!$A:$A,0))=0,"",(D129-INDEX('同比基准(2025年7月)'!$B:$B,MATCH(A129,'同比基准(2025年7月)'!$A:$A,0)))/INDEX('同比基准(2025年7月)'!$B:$B,MATCH(A129,'同比基准(2025年7月)'!$A:$A,0))))</f>
        <v/>
      </c>
      <c r="F129" s="4" t="n">
        <v>0</v>
      </c>
      <c r="G129" s="5">
        <f>IF(COUNTIF('同比基准(2025年7月)'!$A:$A,A129)=0,"新增",IF(INDEX('同比基准(2025年7月)'!$C:$C,MATCH(A129,'同比基准(2025年7月)'!$A:$A,0))=0,"",(F129-INDEX('同比基准(2025年7月)'!$C:$C,MATCH(A129,'同比基准(2025年7月)'!$A:$A,0)))/INDEX('同比基准(2025年7月)'!$C:$C,MATCH(A129,'同比基准(2025年7月)'!$A:$A,0))))</f>
        <v/>
      </c>
    </row>
    <row r="130">
      <c r="A130" s="2" t="inlineStr">
        <is>
          <t>罗森</t>
        </is>
      </c>
      <c r="B130" s="3" t="inlineStr">
        <is>
          <t>零售</t>
        </is>
      </c>
      <c r="C130" s="3" t="inlineStr">
        <is>
          <t>便利店</t>
        </is>
      </c>
      <c r="D130" s="4" t="n">
        <v>243386.22</v>
      </c>
      <c r="E130" s="5">
        <f>IF(COUNTIF('同比基准(2025年7月)'!$A:$A,A130)=0,"新增",IF(INDEX('同比基准(2025年7月)'!$B:$B,MATCH(A130,'同比基准(2025年7月)'!$A:$A,0))=0,"",(D130-INDEX('同比基准(2025年7月)'!$B:$B,MATCH(A130,'同比基准(2025年7月)'!$A:$A,0)))/INDEX('同比基准(2025年7月)'!$B:$B,MATCH(A130,'同比基准(2025年7月)'!$A:$A,0))))</f>
        <v/>
      </c>
      <c r="F130" s="4" t="n">
        <v>0</v>
      </c>
      <c r="G130" s="5">
        <f>IF(COUNTIF('同比基准(2025年7月)'!$A:$A,A130)=0,"新增",IF(INDEX('同比基准(2025年7月)'!$C:$C,MATCH(A130,'同比基准(2025年7月)'!$A:$A,0))=0,"",(F130-INDEX('同比基准(2025年7月)'!$C:$C,MATCH(A130,'同比基准(2025年7月)'!$A:$A,0)))/INDEX('同比基准(2025年7月)'!$C:$C,MATCH(A130,'同比基准(2025年7月)'!$A:$A,0))))</f>
        <v/>
      </c>
    </row>
    <row r="131">
      <c r="A131" s="2" t="inlineStr">
        <is>
          <t>果栗园</t>
        </is>
      </c>
      <c r="B131" s="3" t="inlineStr">
        <is>
          <t>餐饮</t>
        </is>
      </c>
      <c r="C131" s="3" t="inlineStr">
        <is>
          <t>休闲餐饮</t>
        </is>
      </c>
      <c r="D131" s="4" t="n">
        <v>242738.02</v>
      </c>
      <c r="E131" s="5">
        <f>IF(COUNTIF('同比基准(2025年7月)'!$A:$A,A131)=0,"新增",IF(INDEX('同比基准(2025年7月)'!$B:$B,MATCH(A131,'同比基准(2025年7月)'!$A:$A,0))=0,"",(D131-INDEX('同比基准(2025年7月)'!$B:$B,MATCH(A131,'同比基准(2025年7月)'!$A:$A,0)))/INDEX('同比基准(2025年7月)'!$B:$B,MATCH(A131,'同比基准(2025年7月)'!$A:$A,0))))</f>
        <v/>
      </c>
      <c r="F131" s="4" t="n">
        <v>0</v>
      </c>
      <c r="G131" s="5">
        <f>IF(COUNTIF('同比基准(2025年7月)'!$A:$A,A131)=0,"新增",IF(INDEX('同比基准(2025年7月)'!$C:$C,MATCH(A131,'同比基准(2025年7月)'!$A:$A,0))=0,"",(F131-INDEX('同比基准(2025年7月)'!$C:$C,MATCH(A131,'同比基准(2025年7月)'!$A:$A,0)))/INDEX('同比基准(2025年7月)'!$C:$C,MATCH(A131,'同比基准(2025年7月)'!$A:$A,0))))</f>
        <v/>
      </c>
    </row>
    <row r="132">
      <c r="A132" s="2" t="inlineStr">
        <is>
          <t>红宝石</t>
        </is>
      </c>
      <c r="B132" s="3" t="inlineStr">
        <is>
          <t>餐饮</t>
        </is>
      </c>
      <c r="C132" s="3" t="inlineStr">
        <is>
          <t>休闲餐饮</t>
        </is>
      </c>
      <c r="D132" s="4" t="n">
        <v>242627.07</v>
      </c>
      <c r="E132" s="5">
        <f>IF(COUNTIF('同比基准(2025年7月)'!$A:$A,A132)=0,"新增",IF(INDEX('同比基准(2025年7月)'!$B:$B,MATCH(A132,'同比基准(2025年7月)'!$A:$A,0))=0,"",(D132-INDEX('同比基准(2025年7月)'!$B:$B,MATCH(A132,'同比基准(2025年7月)'!$A:$A,0)))/INDEX('同比基准(2025年7月)'!$B:$B,MATCH(A132,'同比基准(2025年7月)'!$A:$A,0))))</f>
        <v/>
      </c>
      <c r="F132" s="4" t="n">
        <v>0</v>
      </c>
      <c r="G132" s="5">
        <f>IF(COUNTIF('同比基准(2025年7月)'!$A:$A,A132)=0,"新增",IF(INDEX('同比基准(2025年7月)'!$C:$C,MATCH(A132,'同比基准(2025年7月)'!$A:$A,0))=0,"",(F132-INDEX('同比基准(2025年7月)'!$C:$C,MATCH(A132,'同比基准(2025年7月)'!$A:$A,0)))/INDEX('同比基准(2025年7月)'!$C:$C,MATCH(A132,'同比基准(2025年7月)'!$A:$A,0))))</f>
        <v/>
      </c>
    </row>
    <row r="133">
      <c r="A133" s="2" t="inlineStr">
        <is>
          <t>科大讯飞</t>
        </is>
      </c>
      <c r="B133" s="3" t="inlineStr">
        <is>
          <t>零售</t>
        </is>
      </c>
      <c r="C133" s="3" t="inlineStr">
        <is>
          <t>数码电器</t>
        </is>
      </c>
      <c r="D133" s="4" t="n">
        <v>242537</v>
      </c>
      <c r="E133" s="5">
        <f>IF(COUNTIF('同比基准(2025年7月)'!$A:$A,A133)=0,"新增",IF(INDEX('同比基准(2025年7月)'!$B:$B,MATCH(A133,'同比基准(2025年7月)'!$A:$A,0))=0,"",(D133-INDEX('同比基准(2025年7月)'!$B:$B,MATCH(A133,'同比基准(2025年7月)'!$A:$A,0)))/INDEX('同比基准(2025年7月)'!$B:$B,MATCH(A133,'同比基准(2025年7月)'!$A:$A,0))))</f>
        <v/>
      </c>
      <c r="F133" s="4" t="n">
        <v>8698.299999999999</v>
      </c>
      <c r="G133" s="5">
        <f>IF(COUNTIF('同比基准(2025年7月)'!$A:$A,A133)=0,"新增",IF(INDEX('同比基准(2025年7月)'!$C:$C,MATCH(A133,'同比基准(2025年7月)'!$A:$A,0))=0,"",(F133-INDEX('同比基准(2025年7月)'!$C:$C,MATCH(A133,'同比基准(2025年7月)'!$A:$A,0)))/INDEX('同比基准(2025年7月)'!$C:$C,MATCH(A133,'同比基准(2025年7月)'!$A:$A,0))))</f>
        <v/>
      </c>
    </row>
    <row r="134">
      <c r="A134" s="2" t="inlineStr">
        <is>
          <t>野人先生</t>
        </is>
      </c>
      <c r="B134" s="3" t="inlineStr">
        <is>
          <t>餐饮</t>
        </is>
      </c>
      <c r="C134" s="3" t="inlineStr">
        <is>
          <t>休闲餐饮</t>
        </is>
      </c>
      <c r="D134" s="4" t="n">
        <v>242345.7</v>
      </c>
      <c r="E134" s="5">
        <f>IF(COUNTIF('同比基准(2025年7月)'!$A:$A,A134)=0,"新增",IF(INDEX('同比基准(2025年7月)'!$B:$B,MATCH(A134,'同比基准(2025年7月)'!$A:$A,0))=0,"",(D134-INDEX('同比基准(2025年7月)'!$B:$B,MATCH(A134,'同比基准(2025年7月)'!$A:$A,0)))/INDEX('同比基准(2025年7月)'!$B:$B,MATCH(A134,'同比基准(2025年7月)'!$A:$A,0))))</f>
        <v/>
      </c>
      <c r="F134" s="4" t="n">
        <v>0</v>
      </c>
      <c r="G134" s="5">
        <f>IF(COUNTIF('同比基准(2025年7月)'!$A:$A,A134)=0,"新增",IF(INDEX('同比基准(2025年7月)'!$C:$C,MATCH(A134,'同比基准(2025年7月)'!$A:$A,0))=0,"",(F134-INDEX('同比基准(2025年7月)'!$C:$C,MATCH(A134,'同比基准(2025年7月)'!$A:$A,0)))/INDEX('同比基准(2025年7月)'!$C:$C,MATCH(A134,'同比基准(2025年7月)'!$A:$A,0))))</f>
        <v/>
      </c>
    </row>
    <row r="135">
      <c r="A135" s="2" t="inlineStr">
        <is>
          <t>泰兰尼斯</t>
        </is>
      </c>
      <c r="B135" s="3" t="inlineStr">
        <is>
          <t>零售</t>
        </is>
      </c>
      <c r="C135" s="3" t="inlineStr">
        <is>
          <t>儿童用品</t>
        </is>
      </c>
      <c r="D135" s="4" t="n">
        <v>239600</v>
      </c>
      <c r="E135" s="5">
        <f>IF(COUNTIF('同比基准(2025年7月)'!$A:$A,A135)=0,"新增",IF(INDEX('同比基准(2025年7月)'!$B:$B,MATCH(A135,'同比基准(2025年7月)'!$A:$A,0))=0,"",(D135-INDEX('同比基准(2025年7月)'!$B:$B,MATCH(A135,'同比基准(2025年7月)'!$A:$A,0)))/INDEX('同比基准(2025年7月)'!$B:$B,MATCH(A135,'同比基准(2025年7月)'!$A:$A,0))))</f>
        <v/>
      </c>
      <c r="F135" s="4" t="n">
        <v>0</v>
      </c>
      <c r="G135" s="5">
        <f>IF(COUNTIF('同比基准(2025年7月)'!$A:$A,A135)=0,"新增",IF(INDEX('同比基准(2025年7月)'!$C:$C,MATCH(A135,'同比基准(2025年7月)'!$A:$A,0))=0,"",(F135-INDEX('同比基准(2025年7月)'!$C:$C,MATCH(A135,'同比基准(2025年7月)'!$A:$A,0)))/INDEX('同比基准(2025年7月)'!$C:$C,MATCH(A135,'同比基准(2025年7月)'!$A:$A,0))))</f>
        <v/>
      </c>
    </row>
    <row r="136">
      <c r="A136" s="2" t="inlineStr">
        <is>
          <t>泰柯茶园</t>
        </is>
      </c>
      <c r="B136" s="3" t="inlineStr">
        <is>
          <t>餐饮</t>
        </is>
      </c>
      <c r="C136" s="3" t="inlineStr">
        <is>
          <t>休闲餐饮</t>
        </is>
      </c>
      <c r="D136" s="4" t="n">
        <v>238020.86</v>
      </c>
      <c r="E136" s="5">
        <f>IF(COUNTIF('同比基准(2025年7月)'!$A:$A,A136)=0,"新增",IF(INDEX('同比基准(2025年7月)'!$B:$B,MATCH(A136,'同比基准(2025年7月)'!$A:$A,0))=0,"",(D136-INDEX('同比基准(2025年7月)'!$B:$B,MATCH(A136,'同比基准(2025年7月)'!$A:$A,0)))/INDEX('同比基准(2025年7月)'!$B:$B,MATCH(A136,'同比基准(2025年7月)'!$A:$A,0))))</f>
        <v/>
      </c>
      <c r="F136" s="4" t="n">
        <v>0</v>
      </c>
      <c r="G136" s="5">
        <f>IF(COUNTIF('同比基准(2025年7月)'!$A:$A,A136)=0,"新增",IF(INDEX('同比基准(2025年7月)'!$C:$C,MATCH(A136,'同比基准(2025年7月)'!$A:$A,0))=0,"",(F136-INDEX('同比基准(2025年7月)'!$C:$C,MATCH(A136,'同比基准(2025年7月)'!$A:$A,0)))/INDEX('同比基准(2025年7月)'!$C:$C,MATCH(A136,'同比基准(2025年7月)'!$A:$A,0))))</f>
        <v/>
      </c>
    </row>
    <row r="137">
      <c r="A137" s="2" t="inlineStr">
        <is>
          <t>太犇牛</t>
        </is>
      </c>
      <c r="B137" s="3" t="inlineStr">
        <is>
          <t>餐饮</t>
        </is>
      </c>
      <c r="C137" s="3" t="inlineStr">
        <is>
          <t>休闲餐饮</t>
        </is>
      </c>
      <c r="D137" s="4" t="n">
        <v>232629.86</v>
      </c>
      <c r="E137" s="5">
        <f>IF(COUNTIF('同比基准(2025年7月)'!$A:$A,A137)=0,"新增",IF(INDEX('同比基准(2025年7月)'!$B:$B,MATCH(A137,'同比基准(2025年7月)'!$A:$A,0))=0,"",(D137-INDEX('同比基准(2025年7月)'!$B:$B,MATCH(A137,'同比基准(2025年7月)'!$A:$A,0)))/INDEX('同比基准(2025年7月)'!$B:$B,MATCH(A137,'同比基准(2025年7月)'!$A:$A,0))))</f>
        <v/>
      </c>
      <c r="F137" s="4" t="n">
        <v>11733.97</v>
      </c>
      <c r="G137" s="5">
        <f>IF(COUNTIF('同比基准(2025年7月)'!$A:$A,A137)=0,"新增",IF(INDEX('同比基准(2025年7月)'!$C:$C,MATCH(A137,'同比基准(2025年7月)'!$A:$A,0))=0,"",(F137-INDEX('同比基准(2025年7月)'!$C:$C,MATCH(A137,'同比基准(2025年7月)'!$A:$A,0)))/INDEX('同比基准(2025年7月)'!$C:$C,MATCH(A137,'同比基准(2025年7月)'!$A:$A,0))))</f>
        <v/>
      </c>
    </row>
    <row r="138">
      <c r="A138" s="2" t="inlineStr">
        <is>
          <t>伶俐</t>
        </is>
      </c>
      <c r="B138" s="3" t="inlineStr">
        <is>
          <t>零售</t>
        </is>
      </c>
      <c r="C138" s="3" t="inlineStr">
        <is>
          <t>其他配套零售</t>
        </is>
      </c>
      <c r="D138" s="4" t="n">
        <v>229491.87</v>
      </c>
      <c r="E138" s="5">
        <f>IF(COUNTIF('同比基准(2025年7月)'!$A:$A,A138)=0,"新增",IF(INDEX('同比基准(2025年7月)'!$B:$B,MATCH(A138,'同比基准(2025年7月)'!$A:$A,0))=0,"",(D138-INDEX('同比基准(2025年7月)'!$B:$B,MATCH(A138,'同比基准(2025年7月)'!$A:$A,0)))/INDEX('同比基准(2025年7月)'!$B:$B,MATCH(A138,'同比基准(2025年7月)'!$A:$A,0))))</f>
        <v/>
      </c>
      <c r="F138" s="4" t="n">
        <v>0</v>
      </c>
      <c r="G138" s="5">
        <f>IF(COUNTIF('同比基准(2025年7月)'!$A:$A,A138)=0,"新增",IF(INDEX('同比基准(2025年7月)'!$C:$C,MATCH(A138,'同比基准(2025年7月)'!$A:$A,0))=0,"",(F138-INDEX('同比基准(2025年7月)'!$C:$C,MATCH(A138,'同比基准(2025年7月)'!$A:$A,0)))/INDEX('同比基准(2025年7月)'!$C:$C,MATCH(A138,'同比基准(2025年7月)'!$A:$A,0))))</f>
        <v/>
      </c>
    </row>
    <row r="139">
      <c r="A139" s="2" t="inlineStr">
        <is>
          <t>my body</t>
        </is>
      </c>
      <c r="B139" s="3" t="inlineStr">
        <is>
          <t>零售</t>
        </is>
      </c>
      <c r="C139" s="3" t="inlineStr">
        <is>
          <t>服装服饰</t>
        </is>
      </c>
      <c r="D139" s="4" t="n">
        <v>228612.7</v>
      </c>
      <c r="E139" s="5">
        <f>IF(COUNTIF('同比基准(2025年7月)'!$A:$A,A139)=0,"新增",IF(INDEX('同比基准(2025年7月)'!$B:$B,MATCH(A139,'同比基准(2025年7月)'!$A:$A,0))=0,"",(D139-INDEX('同比基准(2025年7月)'!$B:$B,MATCH(A139,'同比基准(2025年7月)'!$A:$A,0)))/INDEX('同比基准(2025年7月)'!$B:$B,MATCH(A139,'同比基准(2025年7月)'!$A:$A,0))))</f>
        <v/>
      </c>
      <c r="F139" s="4" t="n">
        <v>0</v>
      </c>
      <c r="G139" s="5">
        <f>IF(COUNTIF('同比基准(2025年7月)'!$A:$A,A139)=0,"新增",IF(INDEX('同比基准(2025年7月)'!$C:$C,MATCH(A139,'同比基准(2025年7月)'!$A:$A,0))=0,"",(F139-INDEX('同比基准(2025年7月)'!$C:$C,MATCH(A139,'同比基准(2025年7月)'!$A:$A,0)))/INDEX('同比基准(2025年7月)'!$C:$C,MATCH(A139,'同比基准(2025年7月)'!$A:$A,0))))</f>
        <v/>
      </c>
    </row>
    <row r="140">
      <c r="A140" s="2" t="inlineStr">
        <is>
          <t>玩具反斗城(TOYSRUS)</t>
        </is>
      </c>
      <c r="B140" s="3" t="inlineStr">
        <is>
          <t>零售</t>
        </is>
      </c>
      <c r="C140" s="3" t="inlineStr">
        <is>
          <t>儿童用品</t>
        </is>
      </c>
      <c r="D140" s="4" t="n">
        <v>227624.46</v>
      </c>
      <c r="E140" s="5">
        <f>IF(COUNTIF('同比基准(2025年7月)'!$A:$A,A140)=0,"新增",IF(INDEX('同比基准(2025年7月)'!$B:$B,MATCH(A140,'同比基准(2025年7月)'!$A:$A,0))=0,"",(D140-INDEX('同比基准(2025年7月)'!$B:$B,MATCH(A140,'同比基准(2025年7月)'!$A:$A,0)))/INDEX('同比基准(2025年7月)'!$B:$B,MATCH(A140,'同比基准(2025年7月)'!$A:$A,0))))</f>
        <v/>
      </c>
      <c r="F140" s="4" t="n">
        <v>0</v>
      </c>
      <c r="G140" s="5">
        <f>IF(COUNTIF('同比基准(2025年7月)'!$A:$A,A140)=0,"新增",IF(INDEX('同比基准(2025年7月)'!$C:$C,MATCH(A140,'同比基准(2025年7月)'!$A:$A,0))=0,"",(F140-INDEX('同比基准(2025年7月)'!$C:$C,MATCH(A140,'同比基准(2025年7月)'!$A:$A,0)))/INDEX('同比基准(2025年7月)'!$C:$C,MATCH(A140,'同比基准(2025年7月)'!$A:$A,0))))</f>
        <v/>
      </c>
    </row>
    <row r="141">
      <c r="A141" s="2" t="inlineStr">
        <is>
          <t>ABUN</t>
        </is>
      </c>
      <c r="B141" s="3" t="inlineStr">
        <is>
          <t>零售</t>
        </is>
      </c>
      <c r="C141" s="3" t="inlineStr">
        <is>
          <t>服装服饰</t>
        </is>
      </c>
      <c r="D141" s="4" t="n">
        <v>227036.6</v>
      </c>
      <c r="E141" s="5">
        <f>IF(COUNTIF('同比基准(2025年7月)'!$A:$A,A141)=0,"新增",IF(INDEX('同比基准(2025年7月)'!$B:$B,MATCH(A141,'同比基准(2025年7月)'!$A:$A,0))=0,"",(D141-INDEX('同比基准(2025年7月)'!$B:$B,MATCH(A141,'同比基准(2025年7月)'!$A:$A,0)))/INDEX('同比基准(2025年7月)'!$B:$B,MATCH(A141,'同比基准(2025年7月)'!$A:$A,0))))</f>
        <v/>
      </c>
      <c r="F141" s="4" t="n">
        <v>0</v>
      </c>
      <c r="G141" s="5">
        <f>IF(COUNTIF('同比基准(2025年7月)'!$A:$A,A141)=0,"新增",IF(INDEX('同比基准(2025年7月)'!$C:$C,MATCH(A141,'同比基准(2025年7月)'!$A:$A,0))=0,"",(F141-INDEX('同比基准(2025年7月)'!$C:$C,MATCH(A141,'同比基准(2025年7月)'!$A:$A,0)))/INDEX('同比基准(2025年7月)'!$C:$C,MATCH(A141,'同比基准(2025年7月)'!$A:$A,0))))</f>
        <v/>
      </c>
    </row>
    <row r="142">
      <c r="A142" s="2" t="inlineStr">
        <is>
          <t>萱子</t>
        </is>
      </c>
      <c r="B142" s="3" t="inlineStr">
        <is>
          <t>零售</t>
        </is>
      </c>
      <c r="C142" s="3" t="inlineStr">
        <is>
          <t>服装服饰</t>
        </is>
      </c>
      <c r="D142" s="4" t="n">
        <v>226423.96</v>
      </c>
      <c r="E142" s="5">
        <f>IF(COUNTIF('同比基准(2025年7月)'!$A:$A,A142)=0,"新增",IF(INDEX('同比基准(2025年7月)'!$B:$B,MATCH(A142,'同比基准(2025年7月)'!$A:$A,0))=0,"",(D142-INDEX('同比基准(2025年7月)'!$B:$B,MATCH(A142,'同比基准(2025年7月)'!$A:$A,0)))/INDEX('同比基准(2025年7月)'!$B:$B,MATCH(A142,'同比基准(2025年7月)'!$A:$A,0))))</f>
        <v/>
      </c>
      <c r="F142" s="4" t="n">
        <v>0</v>
      </c>
      <c r="G142" s="5">
        <f>IF(COUNTIF('同比基准(2025年7月)'!$A:$A,A142)=0,"新增",IF(INDEX('同比基准(2025年7月)'!$C:$C,MATCH(A142,'同比基准(2025年7月)'!$A:$A,0))=0,"",(F142-INDEX('同比基准(2025年7月)'!$C:$C,MATCH(A142,'同比基准(2025年7月)'!$A:$A,0)))/INDEX('同比基准(2025年7月)'!$C:$C,MATCH(A142,'同比基准(2025年7月)'!$A:$A,0))))</f>
        <v/>
      </c>
    </row>
    <row r="143">
      <c r="A143" s="2" t="inlineStr">
        <is>
          <t>精悦蓉</t>
        </is>
      </c>
      <c r="B143" s="3" t="inlineStr">
        <is>
          <t>餐饮</t>
        </is>
      </c>
      <c r="C143" s="3" t="inlineStr">
        <is>
          <t>特色餐饮</t>
        </is>
      </c>
      <c r="D143" s="4" t="n">
        <v>223780.8</v>
      </c>
      <c r="E143" s="5">
        <f>IF(COUNTIF('同比基准(2025年7月)'!$A:$A,A143)=0,"新增",IF(INDEX('同比基准(2025年7月)'!$B:$B,MATCH(A143,'同比基准(2025年7月)'!$A:$A,0))=0,"",(D143-INDEX('同比基准(2025年7月)'!$B:$B,MATCH(A143,'同比基准(2025年7月)'!$A:$A,0)))/INDEX('同比基准(2025年7月)'!$B:$B,MATCH(A143,'同比基准(2025年7月)'!$A:$A,0))))</f>
        <v/>
      </c>
      <c r="F143" s="4" t="n">
        <v>0</v>
      </c>
      <c r="G143" s="5">
        <f>IF(COUNTIF('同比基准(2025年7月)'!$A:$A,A143)=0,"新增",IF(INDEX('同比基准(2025年7月)'!$C:$C,MATCH(A143,'同比基准(2025年7月)'!$A:$A,0))=0,"",(F143-INDEX('同比基准(2025年7月)'!$C:$C,MATCH(A143,'同比基准(2025年7月)'!$A:$A,0)))/INDEX('同比基准(2025年7月)'!$C:$C,MATCH(A143,'同比基准(2025年7月)'!$A:$A,0))))</f>
        <v/>
      </c>
    </row>
    <row r="144">
      <c r="A144" s="2" t="inlineStr">
        <is>
          <t>CLMX</t>
        </is>
      </c>
      <c r="B144" s="3" t="inlineStr">
        <is>
          <t>零售</t>
        </is>
      </c>
      <c r="C144" s="3" t="inlineStr">
        <is>
          <t>服装服饰</t>
        </is>
      </c>
      <c r="D144" s="4" t="n">
        <v>221329</v>
      </c>
      <c r="E144" s="5">
        <f>IF(COUNTIF('同比基准(2025年7月)'!$A:$A,A144)=0,"新增",IF(INDEX('同比基准(2025年7月)'!$B:$B,MATCH(A144,'同比基准(2025年7月)'!$A:$A,0))=0,"",(D144-INDEX('同比基准(2025年7月)'!$B:$B,MATCH(A144,'同比基准(2025年7月)'!$A:$A,0)))/INDEX('同比基准(2025年7月)'!$B:$B,MATCH(A144,'同比基准(2025年7月)'!$A:$A,0))))</f>
        <v/>
      </c>
      <c r="F144" s="4" t="n">
        <v>4652.92</v>
      </c>
      <c r="G144" s="5">
        <f>IF(COUNTIF('同比基准(2025年7月)'!$A:$A,A144)=0,"新增",IF(INDEX('同比基准(2025年7月)'!$C:$C,MATCH(A144,'同比基准(2025年7月)'!$A:$A,0))=0,"",(F144-INDEX('同比基准(2025年7月)'!$C:$C,MATCH(A144,'同比基准(2025年7月)'!$A:$A,0)))/INDEX('同比基准(2025年7月)'!$C:$C,MATCH(A144,'同比基准(2025年7月)'!$A:$A,0))))</f>
        <v/>
      </c>
    </row>
    <row r="145">
      <c r="A145" s="2" t="inlineStr">
        <is>
          <t>朴仁良心</t>
        </is>
      </c>
      <c r="B145" s="3" t="inlineStr">
        <is>
          <t>餐饮</t>
        </is>
      </c>
      <c r="C145" s="3" t="inlineStr">
        <is>
          <t>休闲餐饮</t>
        </is>
      </c>
      <c r="D145" s="4" t="n">
        <v>218089.56</v>
      </c>
      <c r="E145" s="5">
        <f>IF(COUNTIF('同比基准(2025年7月)'!$A:$A,A145)=0,"新增",IF(INDEX('同比基准(2025年7月)'!$B:$B,MATCH(A145,'同比基准(2025年7月)'!$A:$A,0))=0,"",(D145-INDEX('同比基准(2025年7月)'!$B:$B,MATCH(A145,'同比基准(2025年7月)'!$A:$A,0)))/INDEX('同比基准(2025年7月)'!$B:$B,MATCH(A145,'同比基准(2025年7月)'!$A:$A,0))))</f>
        <v/>
      </c>
      <c r="F145" s="4" t="n">
        <v>659.29</v>
      </c>
      <c r="G145" s="5">
        <f>IF(COUNTIF('同比基准(2025年7月)'!$A:$A,A145)=0,"新增",IF(INDEX('同比基准(2025年7月)'!$C:$C,MATCH(A145,'同比基准(2025年7月)'!$A:$A,0))=0,"",(F145-INDEX('同比基准(2025年7月)'!$C:$C,MATCH(A145,'同比基准(2025年7月)'!$A:$A,0)))/INDEX('同比基准(2025年7月)'!$C:$C,MATCH(A145,'同比基准(2025年7月)'!$A:$A,0))))</f>
        <v/>
      </c>
    </row>
    <row r="146">
      <c r="A146" s="2" t="inlineStr">
        <is>
          <t>江南布衣</t>
        </is>
      </c>
      <c r="B146" s="3" t="inlineStr">
        <is>
          <t>零售</t>
        </is>
      </c>
      <c r="C146" s="3" t="inlineStr">
        <is>
          <t>服装服饰</t>
        </is>
      </c>
      <c r="D146" s="4" t="n">
        <v>216636.7</v>
      </c>
      <c r="E146" s="5">
        <f>IF(COUNTIF('同比基准(2025年7月)'!$A:$A,A146)=0,"新增",IF(INDEX('同比基准(2025年7月)'!$B:$B,MATCH(A146,'同比基准(2025年7月)'!$A:$A,0))=0,"",(D146-INDEX('同比基准(2025年7月)'!$B:$B,MATCH(A146,'同比基准(2025年7月)'!$A:$A,0)))/INDEX('同比基准(2025年7月)'!$B:$B,MATCH(A146,'同比基准(2025年7月)'!$A:$A,0))))</f>
        <v/>
      </c>
      <c r="F146" s="4" t="n">
        <v>12887.85</v>
      </c>
      <c r="G146" s="5">
        <f>IF(COUNTIF('同比基准(2025年7月)'!$A:$A,A146)=0,"新增",IF(INDEX('同比基准(2025年7月)'!$C:$C,MATCH(A146,'同比基准(2025年7月)'!$A:$A,0))=0,"",(F146-INDEX('同比基准(2025年7月)'!$C:$C,MATCH(A146,'同比基准(2025年7月)'!$A:$A,0)))/INDEX('同比基准(2025年7月)'!$C:$C,MATCH(A146,'同比基准(2025年7月)'!$A:$A,0))))</f>
        <v/>
      </c>
    </row>
    <row r="147">
      <c r="A147" s="2" t="inlineStr">
        <is>
          <t>THE MINGSI HOUSE</t>
        </is>
      </c>
      <c r="B147" s="3" t="inlineStr">
        <is>
          <t>零售</t>
        </is>
      </c>
      <c r="C147" s="3" t="inlineStr">
        <is>
          <t>服装服饰</t>
        </is>
      </c>
      <c r="D147" s="4" t="n">
        <v>216506</v>
      </c>
      <c r="E147" s="5">
        <f>IF(COUNTIF('同比基准(2025年7月)'!$A:$A,A147)=0,"新增",IF(INDEX('同比基准(2025年7月)'!$B:$B,MATCH(A147,'同比基准(2025年7月)'!$A:$A,0))=0,"",(D147-INDEX('同比基准(2025年7月)'!$B:$B,MATCH(A147,'同比基准(2025年7月)'!$A:$A,0)))/INDEX('同比基准(2025年7月)'!$B:$B,MATCH(A147,'同比基准(2025年7月)'!$A:$A,0))))</f>
        <v/>
      </c>
      <c r="F147" s="4" t="n">
        <v>0</v>
      </c>
      <c r="G147" s="5">
        <f>IF(COUNTIF('同比基准(2025年7月)'!$A:$A,A147)=0,"新增",IF(INDEX('同比基准(2025年7月)'!$C:$C,MATCH(A147,'同比基准(2025年7月)'!$A:$A,0))=0,"",(F147-INDEX('同比基准(2025年7月)'!$C:$C,MATCH(A147,'同比基准(2025年7月)'!$A:$A,0)))/INDEX('同比基准(2025年7月)'!$C:$C,MATCH(A147,'同比基准(2025年7月)'!$A:$A,0))))</f>
        <v/>
      </c>
    </row>
    <row r="148">
      <c r="A148" s="2" t="inlineStr">
        <is>
          <t>KOI THE</t>
        </is>
      </c>
      <c r="B148" s="3" t="inlineStr">
        <is>
          <t>餐饮</t>
        </is>
      </c>
      <c r="C148" s="3" t="inlineStr">
        <is>
          <t>休闲餐饮</t>
        </is>
      </c>
      <c r="D148" s="4" t="n">
        <v>212999.03</v>
      </c>
      <c r="E148" s="5">
        <f>IF(COUNTIF('同比基准(2025年7月)'!$A:$A,A148)=0,"新增",IF(INDEX('同比基准(2025年7月)'!$B:$B,MATCH(A148,'同比基准(2025年7月)'!$A:$A,0))=0,"",(D148-INDEX('同比基准(2025年7月)'!$B:$B,MATCH(A148,'同比基准(2025年7月)'!$A:$A,0)))/INDEX('同比基准(2025年7月)'!$B:$B,MATCH(A148,'同比基准(2025年7月)'!$A:$A,0))))</f>
        <v/>
      </c>
      <c r="F148" s="4" t="n">
        <v>1563.94</v>
      </c>
      <c r="G148" s="5">
        <f>IF(COUNTIF('同比基准(2025年7月)'!$A:$A,A148)=0,"新增",IF(INDEX('同比基准(2025年7月)'!$C:$C,MATCH(A148,'同比基准(2025年7月)'!$A:$A,0))=0,"",(F148-INDEX('同比基准(2025年7月)'!$C:$C,MATCH(A148,'同比基准(2025年7月)'!$A:$A,0)))/INDEX('同比基准(2025年7月)'!$C:$C,MATCH(A148,'同比基准(2025年7月)'!$A:$A,0))))</f>
        <v/>
      </c>
    </row>
    <row r="149">
      <c r="A149" s="2" t="inlineStr">
        <is>
          <t>安踏</t>
        </is>
      </c>
      <c r="B149" s="3" t="inlineStr">
        <is>
          <t>零售</t>
        </is>
      </c>
      <c r="C149" s="3" t="inlineStr">
        <is>
          <t>服装服饰</t>
        </is>
      </c>
      <c r="D149" s="4" t="n">
        <v>210823.14</v>
      </c>
      <c r="E149" s="5">
        <f>IF(COUNTIF('同比基准(2025年7月)'!$A:$A,A149)=0,"新增",IF(INDEX('同比基准(2025年7月)'!$B:$B,MATCH(A149,'同比基准(2025年7月)'!$A:$A,0))=0,"",(D149-INDEX('同比基准(2025年7月)'!$B:$B,MATCH(A149,'同比基准(2025年7月)'!$A:$A,0)))/INDEX('同比基准(2025年7月)'!$B:$B,MATCH(A149,'同比基准(2025年7月)'!$A:$A,0))))</f>
        <v/>
      </c>
      <c r="F149" s="4" t="n">
        <v>0</v>
      </c>
      <c r="G149" s="5">
        <f>IF(COUNTIF('同比基准(2025年7月)'!$A:$A,A149)=0,"新增",IF(INDEX('同比基准(2025年7月)'!$C:$C,MATCH(A149,'同比基准(2025年7月)'!$A:$A,0))=0,"",(F149-INDEX('同比基准(2025年7月)'!$C:$C,MATCH(A149,'同比基准(2025年7月)'!$A:$A,0)))/INDEX('同比基准(2025年7月)'!$C:$C,MATCH(A149,'同比基准(2025年7月)'!$A:$A,0))))</f>
        <v/>
      </c>
    </row>
    <row r="150">
      <c r="A150" s="2" t="inlineStr">
        <is>
          <t>美丽档案</t>
        </is>
      </c>
      <c r="B150" s="3" t="inlineStr">
        <is>
          <t>零售</t>
        </is>
      </c>
      <c r="C150" s="3" t="inlineStr">
        <is>
          <t>服装服饰</t>
        </is>
      </c>
      <c r="D150" s="4" t="n">
        <v>209917</v>
      </c>
      <c r="E150" s="5">
        <f>IF(COUNTIF('同比基准(2025年7月)'!$A:$A,A150)=0,"新增",IF(INDEX('同比基准(2025年7月)'!$B:$B,MATCH(A150,'同比基准(2025年7月)'!$A:$A,0))=0,"",(D150-INDEX('同比基准(2025年7月)'!$B:$B,MATCH(A150,'同比基准(2025年7月)'!$A:$A,0)))/INDEX('同比基准(2025年7月)'!$B:$B,MATCH(A150,'同比基准(2025年7月)'!$A:$A,0))))</f>
        <v/>
      </c>
      <c r="F150" s="4" t="n">
        <v>0</v>
      </c>
      <c r="G150" s="5">
        <f>IF(COUNTIF('同比基准(2025年7月)'!$A:$A,A150)=0,"新增",IF(INDEX('同比基准(2025年7月)'!$C:$C,MATCH(A150,'同比基准(2025年7月)'!$A:$A,0))=0,"",(F150-INDEX('同比基准(2025年7月)'!$C:$C,MATCH(A150,'同比基准(2025年7月)'!$A:$A,0)))/INDEX('同比基准(2025年7月)'!$C:$C,MATCH(A150,'同比基准(2025年7月)'!$A:$A,0))))</f>
        <v/>
      </c>
    </row>
    <row r="151">
      <c r="A151" s="2" t="inlineStr">
        <is>
          <t>POLOWALK</t>
        </is>
      </c>
      <c r="B151" s="3" t="inlineStr">
        <is>
          <t>零售</t>
        </is>
      </c>
      <c r="C151" s="3" t="inlineStr">
        <is>
          <t>服装服饰</t>
        </is>
      </c>
      <c r="D151" s="4" t="n">
        <v>198542</v>
      </c>
      <c r="E151" s="5">
        <f>IF(COUNTIF('同比基准(2025年7月)'!$A:$A,A151)=0,"新增",IF(INDEX('同比基准(2025年7月)'!$B:$B,MATCH(A151,'同比基准(2025年7月)'!$A:$A,0))=0,"",(D151-INDEX('同比基准(2025年7月)'!$B:$B,MATCH(A151,'同比基准(2025年7月)'!$A:$A,0)))/INDEX('同比基准(2025年7月)'!$B:$B,MATCH(A151,'同比基准(2025年7月)'!$A:$A,0))))</f>
        <v/>
      </c>
      <c r="F151" s="4" t="n">
        <v>0</v>
      </c>
      <c r="G151" s="5">
        <f>IF(COUNTIF('同比基准(2025年7月)'!$A:$A,A151)=0,"新增",IF(INDEX('同比基准(2025年7月)'!$C:$C,MATCH(A151,'同比基准(2025年7月)'!$A:$A,0))=0,"",(F151-INDEX('同比基准(2025年7月)'!$C:$C,MATCH(A151,'同比基准(2025年7月)'!$A:$A,0)))/INDEX('同比基准(2025年7月)'!$C:$C,MATCH(A151,'同比基准(2025年7月)'!$A:$A,0))))</f>
        <v/>
      </c>
    </row>
    <row r="152">
      <c r="A152" s="2" t="inlineStr">
        <is>
          <t>LACOSTE</t>
        </is>
      </c>
      <c r="B152" s="3" t="inlineStr">
        <is>
          <t>零售</t>
        </is>
      </c>
      <c r="C152" s="3" t="inlineStr">
        <is>
          <t>服装服饰</t>
        </is>
      </c>
      <c r="D152" s="4" t="n">
        <v>195832.15</v>
      </c>
      <c r="E152" s="5">
        <f>IF(COUNTIF('同比基准(2025年7月)'!$A:$A,A152)=0,"新增",IF(INDEX('同比基准(2025年7月)'!$B:$B,MATCH(A152,'同比基准(2025年7月)'!$A:$A,0))=0,"",(D152-INDEX('同比基准(2025年7月)'!$B:$B,MATCH(A152,'同比基准(2025年7月)'!$A:$A,0)))/INDEX('同比基准(2025年7月)'!$B:$B,MATCH(A152,'同比基准(2025年7月)'!$A:$A,0))))</f>
        <v/>
      </c>
      <c r="F152" s="4" t="n">
        <v>17624.92</v>
      </c>
      <c r="G152" s="5">
        <f>IF(COUNTIF('同比基准(2025年7月)'!$A:$A,A152)=0,"新增",IF(INDEX('同比基准(2025年7月)'!$C:$C,MATCH(A152,'同比基准(2025年7月)'!$A:$A,0))=0,"",(F152-INDEX('同比基准(2025年7月)'!$C:$C,MATCH(A152,'同比基准(2025年7月)'!$A:$A,0)))/INDEX('同比基准(2025年7月)'!$C:$C,MATCH(A152,'同比基准(2025年7月)'!$A:$A,0))))</f>
        <v/>
      </c>
    </row>
    <row r="153">
      <c r="A153" s="2" t="inlineStr">
        <is>
          <t>三叶草</t>
        </is>
      </c>
      <c r="B153" s="3" t="inlineStr">
        <is>
          <t>零售</t>
        </is>
      </c>
      <c r="C153" s="3" t="inlineStr">
        <is>
          <t>服装服饰</t>
        </is>
      </c>
      <c r="D153" s="4" t="n">
        <v>193415</v>
      </c>
      <c r="E153" s="5">
        <f>IF(COUNTIF('同比基准(2025年7月)'!$A:$A,A153)=0,"新增",IF(INDEX('同比基准(2025年7月)'!$B:$B,MATCH(A153,'同比基准(2025年7月)'!$A:$A,0))=0,"",(D153-INDEX('同比基准(2025年7月)'!$B:$B,MATCH(A153,'同比基准(2025年7月)'!$A:$A,0)))/INDEX('同比基准(2025年7月)'!$B:$B,MATCH(A153,'同比基准(2025年7月)'!$A:$A,0))))</f>
        <v/>
      </c>
      <c r="F153" s="4" t="n">
        <v>0</v>
      </c>
      <c r="G153" s="5">
        <f>IF(COUNTIF('同比基准(2025年7月)'!$A:$A,A153)=0,"新增",IF(INDEX('同比基准(2025年7月)'!$C:$C,MATCH(A153,'同比基准(2025年7月)'!$A:$A,0))=0,"",(F153-INDEX('同比基准(2025年7月)'!$C:$C,MATCH(A153,'同比基准(2025年7月)'!$A:$A,0)))/INDEX('同比基准(2025年7月)'!$C:$C,MATCH(A153,'同比基准(2025年7月)'!$A:$A,0))))</f>
        <v/>
      </c>
    </row>
    <row r="154">
      <c r="A154" s="2" t="inlineStr">
        <is>
          <t>沪食光</t>
        </is>
      </c>
      <c r="B154" s="3" t="inlineStr">
        <is>
          <t>餐饮</t>
        </is>
      </c>
      <c r="C154" s="3" t="inlineStr">
        <is>
          <t>休闲餐饮</t>
        </is>
      </c>
      <c r="D154" s="4" t="n">
        <v>188822.4</v>
      </c>
      <c r="E154" s="5">
        <f>IF(COUNTIF('同比基准(2025年7月)'!$A:$A,A154)=0,"新增",IF(INDEX('同比基准(2025年7月)'!$B:$B,MATCH(A154,'同比基准(2025年7月)'!$A:$A,0))=0,"",(D154-INDEX('同比基准(2025年7月)'!$B:$B,MATCH(A154,'同比基准(2025年7月)'!$A:$A,0)))/INDEX('同比基准(2025年7月)'!$B:$B,MATCH(A154,'同比基准(2025年7月)'!$A:$A,0))))</f>
        <v/>
      </c>
      <c r="F154" s="4" t="n">
        <v>0</v>
      </c>
      <c r="G154" s="5">
        <f>IF(COUNTIF('同比基准(2025年7月)'!$A:$A,A154)=0,"新增",IF(INDEX('同比基准(2025年7月)'!$C:$C,MATCH(A154,'同比基准(2025年7月)'!$A:$A,0))=0,"",(F154-INDEX('同比基准(2025年7月)'!$C:$C,MATCH(A154,'同比基准(2025年7月)'!$A:$A,0)))/INDEX('同比基准(2025年7月)'!$C:$C,MATCH(A154,'同比基准(2025年7月)'!$A:$A,0))))</f>
        <v/>
      </c>
    </row>
    <row r="155">
      <c r="A155" s="2" t="inlineStr">
        <is>
          <t>正烧记现捞卤味</t>
        </is>
      </c>
      <c r="B155" s="3" t="inlineStr">
        <is>
          <t>餐饮</t>
        </is>
      </c>
      <c r="C155" s="3" t="inlineStr">
        <is>
          <t>休闲餐饮</t>
        </is>
      </c>
      <c r="D155" s="4" t="n">
        <v>185265.61</v>
      </c>
      <c r="E155" s="5">
        <f>IF(COUNTIF('同比基准(2025年7月)'!$A:$A,A155)=0,"新增",IF(INDEX('同比基准(2025年7月)'!$B:$B,MATCH(A155,'同比基准(2025年7月)'!$A:$A,0))=0,"",(D155-INDEX('同比基准(2025年7月)'!$B:$B,MATCH(A155,'同比基准(2025年7月)'!$A:$A,0)))/INDEX('同比基准(2025年7月)'!$B:$B,MATCH(A155,'同比基准(2025年7月)'!$A:$A,0))))</f>
        <v/>
      </c>
      <c r="F155" s="4" t="n">
        <v>0</v>
      </c>
      <c r="G155" s="5">
        <f>IF(COUNTIF('同比基准(2025年7月)'!$A:$A,A155)=0,"新增",IF(INDEX('同比基准(2025年7月)'!$C:$C,MATCH(A155,'同比基准(2025年7月)'!$A:$A,0))=0,"",(F155-INDEX('同比基准(2025年7月)'!$C:$C,MATCH(A155,'同比基准(2025年7月)'!$A:$A,0)))/INDEX('同比基准(2025年7月)'!$C:$C,MATCH(A155,'同比基准(2025年7月)'!$A:$A,0))))</f>
        <v/>
      </c>
    </row>
    <row r="156">
      <c r="A156" s="2" t="inlineStr">
        <is>
          <t>THE NORTH FACE</t>
        </is>
      </c>
      <c r="B156" s="3" t="inlineStr">
        <is>
          <t>零售</t>
        </is>
      </c>
      <c r="C156" s="3" t="inlineStr">
        <is>
          <t>服装服饰</t>
        </is>
      </c>
      <c r="D156" s="4" t="n">
        <v>184139</v>
      </c>
      <c r="E156" s="5">
        <f>IF(COUNTIF('同比基准(2025年7月)'!$A:$A,A156)=0,"新增",IF(INDEX('同比基准(2025年7月)'!$B:$B,MATCH(A156,'同比基准(2025年7月)'!$A:$A,0))=0,"",(D156-INDEX('同比基准(2025年7月)'!$B:$B,MATCH(A156,'同比基准(2025年7月)'!$A:$A,0)))/INDEX('同比基准(2025年7月)'!$B:$B,MATCH(A156,'同比基准(2025年7月)'!$A:$A,0))))</f>
        <v/>
      </c>
      <c r="F156" s="4" t="n">
        <v>0</v>
      </c>
      <c r="G156" s="5">
        <f>IF(COUNTIF('同比基准(2025年7月)'!$A:$A,A156)=0,"新增",IF(INDEX('同比基准(2025年7月)'!$C:$C,MATCH(A156,'同比基准(2025年7月)'!$A:$A,0))=0,"",(F156-INDEX('同比基准(2025年7月)'!$C:$C,MATCH(A156,'同比基准(2025年7月)'!$A:$A,0)))/INDEX('同比基准(2025年7月)'!$C:$C,MATCH(A156,'同比基准(2025年7月)'!$A:$A,0))))</f>
        <v/>
      </c>
    </row>
    <row r="157">
      <c r="A157" s="2" t="inlineStr">
        <is>
          <t>杰克琼斯(JACK&amp;JONES)</t>
        </is>
      </c>
      <c r="B157" s="3" t="inlineStr">
        <is>
          <t>零售</t>
        </is>
      </c>
      <c r="C157" s="3" t="inlineStr">
        <is>
          <t>服装服饰</t>
        </is>
      </c>
      <c r="D157" s="4" t="n">
        <v>183257.1</v>
      </c>
      <c r="E157" s="5">
        <f>IF(COUNTIF('同比基准(2025年7月)'!$A:$A,A157)=0,"新增",IF(INDEX('同比基准(2025年7月)'!$B:$B,MATCH(A157,'同比基准(2025年7月)'!$A:$A,0))=0,"",(D157-INDEX('同比基准(2025年7月)'!$B:$B,MATCH(A157,'同比基准(2025年7月)'!$A:$A,0)))/INDEX('同比基准(2025年7月)'!$B:$B,MATCH(A157,'同比基准(2025年7月)'!$A:$A,0))))</f>
        <v/>
      </c>
      <c r="F157" s="4" t="n">
        <v>0</v>
      </c>
      <c r="G157" s="5">
        <f>IF(COUNTIF('同比基准(2025年7月)'!$A:$A,A157)=0,"新增",IF(INDEX('同比基准(2025年7月)'!$C:$C,MATCH(A157,'同比基准(2025年7月)'!$A:$A,0))=0,"",(F157-INDEX('同比基准(2025年7月)'!$C:$C,MATCH(A157,'同比基准(2025年7月)'!$A:$A,0)))/INDEX('同比基准(2025年7月)'!$C:$C,MATCH(A157,'同比基准(2025年7月)'!$A:$A,0))))</f>
        <v/>
      </c>
    </row>
    <row r="158">
      <c r="A158" s="2" t="inlineStr">
        <is>
          <t>罗莱家纺(LUOLAI)</t>
        </is>
      </c>
      <c r="B158" s="3" t="inlineStr">
        <is>
          <t>家居</t>
        </is>
      </c>
      <c r="C158" s="3" t="inlineStr">
        <is>
          <t>家居零售</t>
        </is>
      </c>
      <c r="D158" s="4" t="n">
        <v>181193.7</v>
      </c>
      <c r="E158" s="5">
        <f>IF(COUNTIF('同比基准(2025年7月)'!$A:$A,A158)=0,"新增",IF(INDEX('同比基准(2025年7月)'!$B:$B,MATCH(A158,'同比基准(2025年7月)'!$A:$A,0))=0,"",(D158-INDEX('同比基准(2025年7月)'!$B:$B,MATCH(A158,'同比基准(2025年7月)'!$A:$A,0)))/INDEX('同比基准(2025年7月)'!$B:$B,MATCH(A158,'同比基准(2025年7月)'!$A:$A,0))))</f>
        <v/>
      </c>
      <c r="F158" s="4" t="n">
        <v>0</v>
      </c>
      <c r="G158" s="5">
        <f>IF(COUNTIF('同比基准(2025年7月)'!$A:$A,A158)=0,"新增",IF(INDEX('同比基准(2025年7月)'!$C:$C,MATCH(A158,'同比基准(2025年7月)'!$A:$A,0))=0,"",(F158-INDEX('同比基准(2025年7月)'!$C:$C,MATCH(A158,'同比基准(2025年7月)'!$A:$A,0)))/INDEX('同比基准(2025年7月)'!$C:$C,MATCH(A158,'同比基准(2025年7月)'!$A:$A,0))))</f>
        <v/>
      </c>
    </row>
    <row r="159">
      <c r="A159" s="2" t="inlineStr">
        <is>
          <t>瑞幸咖啡(luckin coffee)</t>
        </is>
      </c>
      <c r="B159" s="3" t="inlineStr">
        <is>
          <t>餐饮</t>
        </is>
      </c>
      <c r="C159" s="3" t="inlineStr">
        <is>
          <t>休闲餐饮</t>
        </is>
      </c>
      <c r="D159" s="4" t="n">
        <v>181048.58</v>
      </c>
      <c r="E159" s="5">
        <f>IF(COUNTIF('同比基准(2025年7月)'!$A:$A,A159)=0,"新增",IF(INDEX('同比基准(2025年7月)'!$B:$B,MATCH(A159,'同比基准(2025年7月)'!$A:$A,0))=0,"",(D159-INDEX('同比基准(2025年7月)'!$B:$B,MATCH(A159,'同比基准(2025年7月)'!$A:$A,0)))/INDEX('同比基准(2025年7月)'!$B:$B,MATCH(A159,'同比基准(2025年7月)'!$A:$A,0))))</f>
        <v/>
      </c>
      <c r="F159" s="4" t="n">
        <v>0</v>
      </c>
      <c r="G159" s="5">
        <f>IF(COUNTIF('同比基准(2025年7月)'!$A:$A,A159)=0,"新增",IF(INDEX('同比基准(2025年7月)'!$C:$C,MATCH(A159,'同比基准(2025年7月)'!$A:$A,0))=0,"",(F159-INDEX('同比基准(2025年7月)'!$C:$C,MATCH(A159,'同比基准(2025年7月)'!$A:$A,0)))/INDEX('同比基准(2025年7月)'!$C:$C,MATCH(A159,'同比基准(2025年7月)'!$A:$A,0))))</f>
        <v/>
      </c>
    </row>
    <row r="160">
      <c r="A160" s="2" t="inlineStr">
        <is>
          <t>UNDER ARMOUR OUTDOOR</t>
        </is>
      </c>
      <c r="B160" s="3" t="inlineStr">
        <is>
          <t>零售</t>
        </is>
      </c>
      <c r="C160" s="3" t="inlineStr">
        <is>
          <t>服装服饰</t>
        </is>
      </c>
      <c r="D160" s="4" t="n">
        <v>178165</v>
      </c>
      <c r="E160" s="5">
        <f>IF(COUNTIF('同比基准(2025年7月)'!$A:$A,A160)=0,"新增",IF(INDEX('同比基准(2025年7月)'!$B:$B,MATCH(A160,'同比基准(2025年7月)'!$A:$A,0))=0,"",(D160-INDEX('同比基准(2025年7月)'!$B:$B,MATCH(A160,'同比基准(2025年7月)'!$A:$A,0)))/INDEX('同比基准(2025年7月)'!$B:$B,MATCH(A160,'同比基准(2025年7月)'!$A:$A,0))))</f>
        <v/>
      </c>
      <c r="F160" s="4" t="n">
        <v>0</v>
      </c>
      <c r="G160" s="5">
        <f>IF(COUNTIF('同比基准(2025年7月)'!$A:$A,A160)=0,"新增",IF(INDEX('同比基准(2025年7月)'!$C:$C,MATCH(A160,'同比基准(2025年7月)'!$A:$A,0))=0,"",(F160-INDEX('同比基准(2025年7月)'!$C:$C,MATCH(A160,'同比基准(2025年7月)'!$A:$A,0)))/INDEX('同比基准(2025年7月)'!$C:$C,MATCH(A160,'同比基准(2025年7月)'!$A:$A,0))))</f>
        <v/>
      </c>
    </row>
    <row r="161">
      <c r="A161" s="2" t="inlineStr">
        <is>
          <t>nordic by nature VERO MODA</t>
        </is>
      </c>
      <c r="B161" s="3" t="inlineStr">
        <is>
          <t>零售</t>
        </is>
      </c>
      <c r="C161" s="3" t="inlineStr">
        <is>
          <t>服装服饰</t>
        </is>
      </c>
      <c r="D161" s="4" t="n">
        <v>178013</v>
      </c>
      <c r="E161" s="5">
        <f>IF(COUNTIF('同比基准(2025年7月)'!$A:$A,A161)=0,"新增",IF(INDEX('同比基准(2025年7月)'!$B:$B,MATCH(A161,'同比基准(2025年7月)'!$A:$A,0))=0,"",(D161-INDEX('同比基准(2025年7月)'!$B:$B,MATCH(A161,'同比基准(2025年7月)'!$A:$A,0)))/INDEX('同比基准(2025年7月)'!$B:$B,MATCH(A161,'同比基准(2025年7月)'!$A:$A,0))))</f>
        <v/>
      </c>
      <c r="F161" s="4" t="n">
        <v>0</v>
      </c>
      <c r="G161" s="5">
        <f>IF(COUNTIF('同比基准(2025年7月)'!$A:$A,A161)=0,"新增",IF(INDEX('同比基准(2025年7月)'!$C:$C,MATCH(A161,'同比基准(2025年7月)'!$A:$A,0))=0,"",(F161-INDEX('同比基准(2025年7月)'!$C:$C,MATCH(A161,'同比基准(2025年7月)'!$A:$A,0)))/INDEX('同比基准(2025年7月)'!$C:$C,MATCH(A161,'同比基准(2025年7月)'!$A:$A,0))))</f>
        <v/>
      </c>
    </row>
    <row r="162">
      <c r="A162" s="2" t="inlineStr">
        <is>
          <t>欢囍花生</t>
        </is>
      </c>
      <c r="B162" s="3" t="inlineStr">
        <is>
          <t>餐饮</t>
        </is>
      </c>
      <c r="C162" s="3" t="inlineStr">
        <is>
          <t>休闲餐饮</t>
        </is>
      </c>
      <c r="D162" s="4" t="n">
        <v>176929.04</v>
      </c>
      <c r="E162" s="5">
        <f>IF(COUNTIF('同比基准(2025年7月)'!$A:$A,A162)=0,"新增",IF(INDEX('同比基准(2025年7月)'!$B:$B,MATCH(A162,'同比基准(2025年7月)'!$A:$A,0))=0,"",(D162-INDEX('同比基准(2025年7月)'!$B:$B,MATCH(A162,'同比基准(2025年7月)'!$A:$A,0)))/INDEX('同比基准(2025年7月)'!$B:$B,MATCH(A162,'同比基准(2025年7月)'!$A:$A,0))))</f>
        <v/>
      </c>
      <c r="F162" s="4" t="n">
        <v>0</v>
      </c>
      <c r="G162" s="5">
        <f>IF(COUNTIF('同比基准(2025年7月)'!$A:$A,A162)=0,"新增",IF(INDEX('同比基准(2025年7月)'!$C:$C,MATCH(A162,'同比基准(2025年7月)'!$A:$A,0))=0,"",(F162-INDEX('同比基准(2025年7月)'!$C:$C,MATCH(A162,'同比基准(2025年7月)'!$A:$A,0)))/INDEX('同比基准(2025年7月)'!$C:$C,MATCH(A162,'同比基准(2025年7月)'!$A:$A,0))))</f>
        <v/>
      </c>
    </row>
    <row r="163">
      <c r="A163" s="2" t="inlineStr">
        <is>
          <t>TREK&amp;TRAVEL</t>
        </is>
      </c>
      <c r="B163" s="3" t="inlineStr">
        <is>
          <t>零售</t>
        </is>
      </c>
      <c r="C163" s="3" t="inlineStr">
        <is>
          <t>服装服饰</t>
        </is>
      </c>
      <c r="D163" s="4" t="n">
        <v>174385</v>
      </c>
      <c r="E163" s="5">
        <f>IF(COUNTIF('同比基准(2025年7月)'!$A:$A,A163)=0,"新增",IF(INDEX('同比基准(2025年7月)'!$B:$B,MATCH(A163,'同比基准(2025年7月)'!$A:$A,0))=0,"",(D163-INDEX('同比基准(2025年7月)'!$B:$B,MATCH(A163,'同比基准(2025年7月)'!$A:$A,0)))/INDEX('同比基准(2025年7月)'!$B:$B,MATCH(A163,'同比基准(2025年7月)'!$A:$A,0))))</f>
        <v/>
      </c>
      <c r="F163" s="4" t="n">
        <v>0</v>
      </c>
      <c r="G163" s="5">
        <f>IF(COUNTIF('同比基准(2025年7月)'!$A:$A,A163)=0,"新增",IF(INDEX('同比基准(2025年7月)'!$C:$C,MATCH(A163,'同比基准(2025年7月)'!$A:$A,0))=0,"",(F163-INDEX('同比基准(2025年7月)'!$C:$C,MATCH(A163,'同比基准(2025年7月)'!$A:$A,0)))/INDEX('同比基准(2025年7月)'!$C:$C,MATCH(A163,'同比基准(2025年7月)'!$A:$A,0))))</f>
        <v/>
      </c>
    </row>
    <row r="164">
      <c r="A164" s="2" t="inlineStr">
        <is>
          <t>百丽</t>
        </is>
      </c>
      <c r="B164" s="3" t="inlineStr">
        <is>
          <t>零售</t>
        </is>
      </c>
      <c r="C164" s="3" t="inlineStr">
        <is>
          <t>鞋包</t>
        </is>
      </c>
      <c r="D164" s="4" t="n">
        <v>172133</v>
      </c>
      <c r="E164" s="5">
        <f>IF(COUNTIF('同比基准(2025年7月)'!$A:$A,A164)=0,"新增",IF(INDEX('同比基准(2025年7月)'!$B:$B,MATCH(A164,'同比基准(2025年7月)'!$A:$A,0))=0,"",(D164-INDEX('同比基准(2025年7月)'!$B:$B,MATCH(A164,'同比基准(2025年7月)'!$A:$A,0)))/INDEX('同比基准(2025年7月)'!$B:$B,MATCH(A164,'同比基准(2025年7月)'!$A:$A,0))))</f>
        <v/>
      </c>
      <c r="F164" s="4" t="n">
        <v>0</v>
      </c>
      <c r="G164" s="5">
        <f>IF(COUNTIF('同比基准(2025年7月)'!$A:$A,A164)=0,"新增",IF(INDEX('同比基准(2025年7月)'!$C:$C,MATCH(A164,'同比基准(2025年7月)'!$A:$A,0))=0,"",(F164-INDEX('同比基准(2025年7月)'!$C:$C,MATCH(A164,'同比基准(2025年7月)'!$A:$A,0)))/INDEX('同比基准(2025年7月)'!$C:$C,MATCH(A164,'同比基准(2025年7月)'!$A:$A,0))))</f>
        <v/>
      </c>
    </row>
    <row r="165">
      <c r="A165" s="2" t="inlineStr">
        <is>
          <t>来伊份</t>
        </is>
      </c>
      <c r="B165" s="3" t="inlineStr">
        <is>
          <t>零售</t>
        </is>
      </c>
      <c r="C165" s="3" t="inlineStr">
        <is>
          <t>包装食品</t>
        </is>
      </c>
      <c r="D165" s="4" t="n">
        <v>169300.3</v>
      </c>
      <c r="E165" s="5">
        <f>IF(COUNTIF('同比基准(2025年7月)'!$A:$A,A165)=0,"新增",IF(INDEX('同比基准(2025年7月)'!$B:$B,MATCH(A165,'同比基准(2025年7月)'!$A:$A,0))=0,"",(D165-INDEX('同比基准(2025年7月)'!$B:$B,MATCH(A165,'同比基准(2025年7月)'!$A:$A,0)))/INDEX('同比基准(2025年7月)'!$B:$B,MATCH(A165,'同比基准(2025年7月)'!$A:$A,0))))</f>
        <v/>
      </c>
      <c r="F165" s="4" t="n">
        <v>0</v>
      </c>
      <c r="G165" s="5">
        <f>IF(COUNTIF('同比基准(2025年7月)'!$A:$A,A165)=0,"新增",IF(INDEX('同比基准(2025年7月)'!$C:$C,MATCH(A165,'同比基准(2025年7月)'!$A:$A,0))=0,"",(F165-INDEX('同比基准(2025年7月)'!$C:$C,MATCH(A165,'同比基准(2025年7月)'!$A:$A,0)))/INDEX('同比基准(2025年7月)'!$C:$C,MATCH(A165,'同比基准(2025年7月)'!$A:$A,0))))</f>
        <v/>
      </c>
    </row>
    <row r="166">
      <c r="A166" s="2" t="inlineStr">
        <is>
          <t>就是柠</t>
        </is>
      </c>
      <c r="B166" s="3" t="inlineStr">
        <is>
          <t>餐饮</t>
        </is>
      </c>
      <c r="C166" s="3" t="inlineStr">
        <is>
          <t>休闲餐饮</t>
        </is>
      </c>
      <c r="D166" s="4" t="n">
        <v>168944.54</v>
      </c>
      <c r="E166" s="5">
        <f>IF(COUNTIF('同比基准(2025年7月)'!$A:$A,A166)=0,"新增",IF(INDEX('同比基准(2025年7月)'!$B:$B,MATCH(A166,'同比基准(2025年7月)'!$A:$A,0))=0,"",(D166-INDEX('同比基准(2025年7月)'!$B:$B,MATCH(A166,'同比基准(2025年7月)'!$A:$A,0)))/INDEX('同比基准(2025年7月)'!$B:$B,MATCH(A166,'同比基准(2025年7月)'!$A:$A,0))))</f>
        <v/>
      </c>
      <c r="F166" s="4" t="n">
        <v>0</v>
      </c>
      <c r="G166" s="5">
        <f>IF(COUNTIF('同比基准(2025年7月)'!$A:$A,A166)=0,"新增",IF(INDEX('同比基准(2025年7月)'!$C:$C,MATCH(A166,'同比基准(2025年7月)'!$A:$A,0))=0,"",(F166-INDEX('同比基准(2025年7月)'!$C:$C,MATCH(A166,'同比基准(2025年7月)'!$A:$A,0)))/INDEX('同比基准(2025年7月)'!$C:$C,MATCH(A166,'同比基准(2025年7月)'!$A:$A,0))))</f>
        <v/>
      </c>
    </row>
    <row r="167">
      <c r="A167" s="2" t="inlineStr">
        <is>
          <t>巴拉巴拉</t>
        </is>
      </c>
      <c r="B167" s="3" t="inlineStr">
        <is>
          <t>零售</t>
        </is>
      </c>
      <c r="C167" s="3" t="inlineStr">
        <is>
          <t>儿童用品</t>
        </is>
      </c>
      <c r="D167" s="4" t="n">
        <v>167610.2</v>
      </c>
      <c r="E167" s="5">
        <f>IF(COUNTIF('同比基准(2025年7月)'!$A:$A,A167)=0,"新增",IF(INDEX('同比基准(2025年7月)'!$B:$B,MATCH(A167,'同比基准(2025年7月)'!$A:$A,0))=0,"",(D167-INDEX('同比基准(2025年7月)'!$B:$B,MATCH(A167,'同比基准(2025年7月)'!$A:$A,0)))/INDEX('同比基准(2025年7月)'!$B:$B,MATCH(A167,'同比基准(2025年7月)'!$A:$A,0))))</f>
        <v/>
      </c>
      <c r="F167" s="4" t="n">
        <v>0</v>
      </c>
      <c r="G167" s="5">
        <f>IF(COUNTIF('同比基准(2025年7月)'!$A:$A,A167)=0,"新增",IF(INDEX('同比基准(2025年7月)'!$C:$C,MATCH(A167,'同比基准(2025年7月)'!$A:$A,0))=0,"",(F167-INDEX('同比基准(2025年7月)'!$C:$C,MATCH(A167,'同比基准(2025年7月)'!$A:$A,0)))/INDEX('同比基准(2025年7月)'!$C:$C,MATCH(A167,'同比基准(2025年7月)'!$A:$A,0))))</f>
        <v/>
      </c>
    </row>
    <row r="168">
      <c r="A168" s="2" t="inlineStr">
        <is>
          <t>瑞幸咖啡</t>
        </is>
      </c>
      <c r="B168" s="3" t="inlineStr">
        <is>
          <t>餐饮</t>
        </is>
      </c>
      <c r="C168" s="3" t="inlineStr">
        <is>
          <t>休闲餐饮</t>
        </is>
      </c>
      <c r="D168" s="4" t="n">
        <v>165067.56</v>
      </c>
      <c r="E168" s="5">
        <f>IF(COUNTIF('同比基准(2025年7月)'!$A:$A,A168)=0,"新增",IF(INDEX('同比基准(2025年7月)'!$B:$B,MATCH(A168,'同比基准(2025年7月)'!$A:$A,0))=0,"",(D168-INDEX('同比基准(2025年7月)'!$B:$B,MATCH(A168,'同比基准(2025年7月)'!$A:$A,0)))/INDEX('同比基准(2025年7月)'!$B:$B,MATCH(A168,'同比基准(2025年7月)'!$A:$A,0))))</f>
        <v/>
      </c>
      <c r="F168" s="4" t="n">
        <v>0</v>
      </c>
      <c r="G168" s="5">
        <f>IF(COUNTIF('同比基准(2025年7月)'!$A:$A,A168)=0,"新增",IF(INDEX('同比基准(2025年7月)'!$C:$C,MATCH(A168,'同比基准(2025年7月)'!$A:$A,0))=0,"",(F168-INDEX('同比基准(2025年7月)'!$C:$C,MATCH(A168,'同比基准(2025年7月)'!$A:$A,0)))/INDEX('同比基准(2025年7月)'!$C:$C,MATCH(A168,'同比基准(2025年7月)'!$A:$A,0))))</f>
        <v/>
      </c>
    </row>
    <row r="169">
      <c r="A169" s="2" t="inlineStr">
        <is>
          <t>LEGO</t>
        </is>
      </c>
      <c r="B169" s="3" t="inlineStr">
        <is>
          <t>零售</t>
        </is>
      </c>
      <c r="C169" s="3" t="inlineStr">
        <is>
          <t>儿童用品</t>
        </is>
      </c>
      <c r="D169" s="4" t="n">
        <v>159776</v>
      </c>
      <c r="E169" s="5">
        <f>IF(COUNTIF('同比基准(2025年7月)'!$A:$A,A169)=0,"新增",IF(INDEX('同比基准(2025年7月)'!$B:$B,MATCH(A169,'同比基准(2025年7月)'!$A:$A,0))=0,"",(D169-INDEX('同比基准(2025年7月)'!$B:$B,MATCH(A169,'同比基准(2025年7月)'!$A:$A,0)))/INDEX('同比基准(2025年7月)'!$B:$B,MATCH(A169,'同比基准(2025年7月)'!$A:$A,0))))</f>
        <v/>
      </c>
      <c r="F169" s="4" t="n">
        <v>0</v>
      </c>
      <c r="G169" s="5">
        <f>IF(COUNTIF('同比基准(2025年7月)'!$A:$A,A169)=0,"新增",IF(INDEX('同比基准(2025年7月)'!$C:$C,MATCH(A169,'同比基准(2025年7月)'!$A:$A,0))=0,"",(F169-INDEX('同比基准(2025年7月)'!$C:$C,MATCH(A169,'同比基准(2025年7月)'!$A:$A,0)))/INDEX('同比基准(2025年7月)'!$C:$C,MATCH(A169,'同比基准(2025年7月)'!$A:$A,0))))</f>
        <v/>
      </c>
    </row>
    <row r="170">
      <c r="A170" s="2" t="inlineStr">
        <is>
          <t>小狮达</t>
        </is>
      </c>
      <c r="B170" s="3" t="inlineStr">
        <is>
          <t>服务</t>
        </is>
      </c>
      <c r="C170" s="3" t="inlineStr">
        <is>
          <t>配套设施</t>
        </is>
      </c>
      <c r="D170" s="4" t="n">
        <v>157624</v>
      </c>
      <c r="E170" s="5">
        <f>IF(COUNTIF('同比基准(2025年7月)'!$A:$A,A170)=0,"新增",IF(INDEX('同比基准(2025年7月)'!$B:$B,MATCH(A170,'同比基准(2025年7月)'!$A:$A,0))=0,"",(D170-INDEX('同比基准(2025年7月)'!$B:$B,MATCH(A170,'同比基准(2025年7月)'!$A:$A,0)))/INDEX('同比基准(2025年7月)'!$B:$B,MATCH(A170,'同比基准(2025年7月)'!$A:$A,0))))</f>
        <v/>
      </c>
      <c r="F170" s="4" t="n">
        <v>0</v>
      </c>
      <c r="G170" s="5">
        <f>IF(COUNTIF('同比基准(2025年7月)'!$A:$A,A170)=0,"新增",IF(INDEX('同比基准(2025年7月)'!$C:$C,MATCH(A170,'同比基准(2025年7月)'!$A:$A,0))=0,"",(F170-INDEX('同比基准(2025年7月)'!$C:$C,MATCH(A170,'同比基准(2025年7月)'!$A:$A,0)))/INDEX('同比基准(2025年7月)'!$C:$C,MATCH(A170,'同比基准(2025年7月)'!$A:$A,0))))</f>
        <v/>
      </c>
    </row>
    <row r="171">
      <c r="A171" s="2" t="inlineStr">
        <is>
          <t>PEACEBIRD</t>
        </is>
      </c>
      <c r="B171" s="3" t="inlineStr">
        <is>
          <t>零售</t>
        </is>
      </c>
      <c r="C171" s="3" t="inlineStr">
        <is>
          <t>服装服饰</t>
        </is>
      </c>
      <c r="D171" s="4" t="n">
        <v>155083</v>
      </c>
      <c r="E171" s="5">
        <f>IF(COUNTIF('同比基准(2025年7月)'!$A:$A,A171)=0,"新增",IF(INDEX('同比基准(2025年7月)'!$B:$B,MATCH(A171,'同比基准(2025年7月)'!$A:$A,0))=0,"",(D171-INDEX('同比基准(2025年7月)'!$B:$B,MATCH(A171,'同比基准(2025年7月)'!$A:$A,0)))/INDEX('同比基准(2025年7月)'!$B:$B,MATCH(A171,'同比基准(2025年7月)'!$A:$A,0))))</f>
        <v/>
      </c>
      <c r="F171" s="4" t="n">
        <v>0</v>
      </c>
      <c r="G171" s="5">
        <f>IF(COUNTIF('同比基准(2025年7月)'!$A:$A,A171)=0,"新增",IF(INDEX('同比基准(2025年7月)'!$C:$C,MATCH(A171,'同比基准(2025年7月)'!$A:$A,0))=0,"",(F171-INDEX('同比基准(2025年7月)'!$C:$C,MATCH(A171,'同比基准(2025年7月)'!$A:$A,0)))/INDEX('同比基准(2025年7月)'!$C:$C,MATCH(A171,'同比基准(2025年7月)'!$A:$A,0))))</f>
        <v/>
      </c>
    </row>
    <row r="172">
      <c r="A172" s="2" t="inlineStr">
        <is>
          <t>斯凯奇</t>
        </is>
      </c>
      <c r="B172" s="3" t="inlineStr">
        <is>
          <t>零售</t>
        </is>
      </c>
      <c r="C172" s="3" t="inlineStr">
        <is>
          <t>服装服饰</t>
        </is>
      </c>
      <c r="D172" s="4" t="n">
        <v>152245.8</v>
      </c>
      <c r="E172" s="5">
        <f>IF(COUNTIF('同比基准(2025年7月)'!$A:$A,A172)=0,"新增",IF(INDEX('同比基准(2025年7月)'!$B:$B,MATCH(A172,'同比基准(2025年7月)'!$A:$A,0))=0,"",(D172-INDEX('同比基准(2025年7月)'!$B:$B,MATCH(A172,'同比基准(2025年7月)'!$A:$A,0)))/INDEX('同比基准(2025年7月)'!$B:$B,MATCH(A172,'同比基准(2025年7月)'!$A:$A,0))))</f>
        <v/>
      </c>
      <c r="F172" s="4" t="n">
        <v>0</v>
      </c>
      <c r="G172" s="5">
        <f>IF(COUNTIF('同比基准(2025年7月)'!$A:$A,A172)=0,"新增",IF(INDEX('同比基准(2025年7月)'!$C:$C,MATCH(A172,'同比基准(2025年7月)'!$A:$A,0))=0,"",(F172-INDEX('同比基准(2025年7月)'!$C:$C,MATCH(A172,'同比基准(2025年7月)'!$A:$A,0)))/INDEX('同比基准(2025年7月)'!$C:$C,MATCH(A172,'同比基准(2025年7月)'!$A:$A,0))))</f>
        <v/>
      </c>
    </row>
    <row r="173">
      <c r="A173" s="2" t="inlineStr">
        <is>
          <t>宋朝</t>
        </is>
      </c>
      <c r="B173" s="3" t="inlineStr">
        <is>
          <t>零售</t>
        </is>
      </c>
      <c r="C173" s="3" t="inlineStr">
        <is>
          <t>化妆品</t>
        </is>
      </c>
      <c r="D173" s="4" t="n">
        <v>150930.1</v>
      </c>
      <c r="E173" s="5">
        <f>IF(COUNTIF('同比基准(2025年7月)'!$A:$A,A173)=0,"新增",IF(INDEX('同比基准(2025年7月)'!$B:$B,MATCH(A173,'同比基准(2025年7月)'!$A:$A,0))=0,"",(D173-INDEX('同比基准(2025年7月)'!$B:$B,MATCH(A173,'同比基准(2025年7月)'!$A:$A,0)))/INDEX('同比基准(2025年7月)'!$B:$B,MATCH(A173,'同比基准(2025年7月)'!$A:$A,0))))</f>
        <v/>
      </c>
      <c r="F173" s="4" t="n">
        <v>2784.22</v>
      </c>
      <c r="G173" s="5">
        <f>IF(COUNTIF('同比基准(2025年7月)'!$A:$A,A173)=0,"新增",IF(INDEX('同比基准(2025年7月)'!$C:$C,MATCH(A173,'同比基准(2025年7月)'!$A:$A,0))=0,"",(F173-INDEX('同比基准(2025年7月)'!$C:$C,MATCH(A173,'同比基准(2025年7月)'!$A:$A,0)))/INDEX('同比基准(2025年7月)'!$C:$C,MATCH(A173,'同比基准(2025年7月)'!$A:$A,0))))</f>
        <v/>
      </c>
    </row>
    <row r="174">
      <c r="A174" s="2" t="inlineStr">
        <is>
          <t>花西子</t>
        </is>
      </c>
      <c r="B174" s="3" t="inlineStr">
        <is>
          <t>零售</t>
        </is>
      </c>
      <c r="C174" s="3" t="inlineStr">
        <is>
          <t>化妆品</t>
        </is>
      </c>
      <c r="D174" s="4" t="n">
        <v>150029</v>
      </c>
      <c r="E174" s="5">
        <f>IF(COUNTIF('同比基准(2025年7月)'!$A:$A,A174)=0,"新增",IF(INDEX('同比基准(2025年7月)'!$B:$B,MATCH(A174,'同比基准(2025年7月)'!$A:$A,0))=0,"",(D174-INDEX('同比基准(2025年7月)'!$B:$B,MATCH(A174,'同比基准(2025年7月)'!$A:$A,0)))/INDEX('同比基准(2025年7月)'!$B:$B,MATCH(A174,'同比基准(2025年7月)'!$A:$A,0))))</f>
        <v/>
      </c>
      <c r="F174" s="4" t="n">
        <v>3184.39</v>
      </c>
      <c r="G174" s="5">
        <f>IF(COUNTIF('同比基准(2025年7月)'!$A:$A,A174)=0,"新增",IF(INDEX('同比基准(2025年7月)'!$C:$C,MATCH(A174,'同比基准(2025年7月)'!$A:$A,0))=0,"",(F174-INDEX('同比基准(2025年7月)'!$C:$C,MATCH(A174,'同比基准(2025年7月)'!$A:$A,0)))/INDEX('同比基准(2025年7月)'!$C:$C,MATCH(A174,'同比基准(2025年7月)'!$A:$A,0))))</f>
        <v/>
      </c>
    </row>
    <row r="175">
      <c r="A175" s="2" t="inlineStr">
        <is>
          <t>TOP TOY</t>
        </is>
      </c>
      <c r="B175" s="3" t="inlineStr">
        <is>
          <t>零售</t>
        </is>
      </c>
      <c r="C175" s="3" t="inlineStr">
        <is>
          <t>其他配套零售</t>
        </is>
      </c>
      <c r="D175" s="4" t="n">
        <v>145633.92</v>
      </c>
      <c r="E175" s="5">
        <f>IF(COUNTIF('同比基准(2025年7月)'!$A:$A,A175)=0,"新增",IF(INDEX('同比基准(2025年7月)'!$B:$B,MATCH(A175,'同比基准(2025年7月)'!$A:$A,0))=0,"",(D175-INDEX('同比基准(2025年7月)'!$B:$B,MATCH(A175,'同比基准(2025年7月)'!$A:$A,0)))/INDEX('同比基准(2025年7月)'!$B:$B,MATCH(A175,'同比基准(2025年7月)'!$A:$A,0))))</f>
        <v/>
      </c>
      <c r="F175" s="4" t="n">
        <v>0</v>
      </c>
      <c r="G175" s="5">
        <f>IF(COUNTIF('同比基准(2025年7月)'!$A:$A,A175)=0,"新增",IF(INDEX('同比基准(2025年7月)'!$C:$C,MATCH(A175,'同比基准(2025年7月)'!$A:$A,0))=0,"",(F175-INDEX('同比基准(2025年7月)'!$C:$C,MATCH(A175,'同比基准(2025年7月)'!$A:$A,0)))/INDEX('同比基准(2025年7月)'!$C:$C,MATCH(A175,'同比基准(2025年7月)'!$A:$A,0))))</f>
        <v/>
      </c>
    </row>
    <row r="176">
      <c r="A176" s="2" t="inlineStr">
        <is>
          <t>雅柔</t>
        </is>
      </c>
      <c r="B176" s="3" t="inlineStr">
        <is>
          <t>零售</t>
        </is>
      </c>
      <c r="C176" s="3" t="inlineStr">
        <is>
          <t>服装服饰</t>
        </is>
      </c>
      <c r="D176" s="4" t="n">
        <v>142835</v>
      </c>
      <c r="E176" s="5">
        <f>IF(COUNTIF('同比基准(2025年7月)'!$A:$A,A176)=0,"新增",IF(INDEX('同比基准(2025年7月)'!$B:$B,MATCH(A176,'同比基准(2025年7月)'!$A:$A,0))=0,"",(D176-INDEX('同比基准(2025年7月)'!$B:$B,MATCH(A176,'同比基准(2025年7月)'!$A:$A,0)))/INDEX('同比基准(2025年7月)'!$B:$B,MATCH(A176,'同比基准(2025年7月)'!$A:$A,0))))</f>
        <v/>
      </c>
      <c r="F176" s="4" t="n">
        <v>0</v>
      </c>
      <c r="G176" s="5">
        <f>IF(COUNTIF('同比基准(2025年7月)'!$A:$A,A176)=0,"新增",IF(INDEX('同比基准(2025年7月)'!$C:$C,MATCH(A176,'同比基准(2025年7月)'!$A:$A,0))=0,"",(F176-INDEX('同比基准(2025年7月)'!$C:$C,MATCH(A176,'同比基准(2025年7月)'!$A:$A,0)))/INDEX('同比基准(2025年7月)'!$C:$C,MATCH(A176,'同比基准(2025年7月)'!$A:$A,0))))</f>
        <v/>
      </c>
    </row>
    <row r="177">
      <c r="A177" s="2" t="inlineStr">
        <is>
          <t>金至尊</t>
        </is>
      </c>
      <c r="B177" s="3" t="inlineStr">
        <is>
          <t>零售</t>
        </is>
      </c>
      <c r="C177" s="3" t="inlineStr">
        <is>
          <t>钟表/珠宝/高端笔/精品</t>
        </is>
      </c>
      <c r="D177" s="4" t="n">
        <v>142011.5</v>
      </c>
      <c r="E177" s="5">
        <f>IF(COUNTIF('同比基准(2025年7月)'!$A:$A,A177)=0,"新增",IF(INDEX('同比基准(2025年7月)'!$B:$B,MATCH(A177,'同比基准(2025年7月)'!$A:$A,0))=0,"",(D177-INDEX('同比基准(2025年7月)'!$B:$B,MATCH(A177,'同比基准(2025年7月)'!$A:$A,0)))/INDEX('同比基准(2025年7月)'!$B:$B,MATCH(A177,'同比基准(2025年7月)'!$A:$A,0))))</f>
        <v/>
      </c>
      <c r="F177" s="4" t="n">
        <v>0</v>
      </c>
      <c r="G177" s="5">
        <f>IF(COUNTIF('同比基准(2025年7月)'!$A:$A,A177)=0,"新增",IF(INDEX('同比基准(2025年7月)'!$C:$C,MATCH(A177,'同比基准(2025年7月)'!$A:$A,0))=0,"",(F177-INDEX('同比基准(2025年7月)'!$C:$C,MATCH(A177,'同比基准(2025年7月)'!$A:$A,0)))/INDEX('同比基准(2025年7月)'!$C:$C,MATCH(A177,'同比基准(2025年7月)'!$A:$A,0))))</f>
        <v/>
      </c>
    </row>
    <row r="178">
      <c r="A178" s="2" t="inlineStr">
        <is>
          <t>眼镜生活</t>
        </is>
      </c>
      <c r="B178" s="3" t="inlineStr">
        <is>
          <t>零售</t>
        </is>
      </c>
      <c r="C178" s="3" t="inlineStr">
        <is>
          <t>服装服饰</t>
        </is>
      </c>
      <c r="D178" s="4" t="n">
        <v>141222.6</v>
      </c>
      <c r="E178" s="5">
        <f>IF(COUNTIF('同比基准(2025年7月)'!$A:$A,A178)=0,"新增",IF(INDEX('同比基准(2025年7月)'!$B:$B,MATCH(A178,'同比基准(2025年7月)'!$A:$A,0))=0,"",(D178-INDEX('同比基准(2025年7月)'!$B:$B,MATCH(A178,'同比基准(2025年7月)'!$A:$A,0)))/INDEX('同比基准(2025年7月)'!$B:$B,MATCH(A178,'同比基准(2025年7月)'!$A:$A,0))))</f>
        <v/>
      </c>
      <c r="F178" s="4" t="n">
        <v>0</v>
      </c>
      <c r="G178" s="5">
        <f>IF(COUNTIF('同比基准(2025年7月)'!$A:$A,A178)=0,"新增",IF(INDEX('同比基准(2025年7月)'!$C:$C,MATCH(A178,'同比基准(2025年7月)'!$A:$A,0))=0,"",(F178-INDEX('同比基准(2025年7月)'!$C:$C,MATCH(A178,'同比基准(2025年7月)'!$A:$A,0)))/INDEX('同比基准(2025年7月)'!$C:$C,MATCH(A178,'同比基准(2025年7月)'!$A:$A,0))))</f>
        <v/>
      </c>
    </row>
    <row r="179">
      <c r="A179" s="2" t="inlineStr">
        <is>
          <t>adidas</t>
        </is>
      </c>
      <c r="B179" s="3" t="inlineStr">
        <is>
          <t>零售</t>
        </is>
      </c>
      <c r="C179" s="3" t="inlineStr">
        <is>
          <t>服装服饰</t>
        </is>
      </c>
      <c r="D179" s="4" t="n">
        <v>140507</v>
      </c>
      <c r="E179" s="5">
        <f>IF(COUNTIF('同比基准(2025年7月)'!$A:$A,A179)=0,"新增",IF(INDEX('同比基准(2025年7月)'!$B:$B,MATCH(A179,'同比基准(2025年7月)'!$A:$A,0))=0,"",(D179-INDEX('同比基准(2025年7月)'!$B:$B,MATCH(A179,'同比基准(2025年7月)'!$A:$A,0)))/INDEX('同比基准(2025年7月)'!$B:$B,MATCH(A179,'同比基准(2025年7月)'!$A:$A,0))))</f>
        <v/>
      </c>
      <c r="F179" s="4" t="n">
        <v>0</v>
      </c>
      <c r="G179" s="5">
        <f>IF(COUNTIF('同比基准(2025年7月)'!$A:$A,A179)=0,"新增",IF(INDEX('同比基准(2025年7月)'!$C:$C,MATCH(A179,'同比基准(2025年7月)'!$A:$A,0))=0,"",(F179-INDEX('同比基准(2025年7月)'!$C:$C,MATCH(A179,'同比基准(2025年7月)'!$A:$A,0)))/INDEX('同比基准(2025年7月)'!$C:$C,MATCH(A179,'同比基准(2025年7月)'!$A:$A,0))))</f>
        <v/>
      </c>
    </row>
    <row r="180">
      <c r="A180" s="2" t="inlineStr">
        <is>
          <t>LINLEE</t>
        </is>
      </c>
      <c r="B180" s="3" t="inlineStr">
        <is>
          <t>餐饮</t>
        </is>
      </c>
      <c r="C180" s="3" t="inlineStr">
        <is>
          <t>休闲餐饮</t>
        </is>
      </c>
      <c r="D180" s="4" t="n">
        <v>139186.96</v>
      </c>
      <c r="E180" s="5">
        <f>IF(COUNTIF('同比基准(2025年7月)'!$A:$A,A180)=0,"新增",IF(INDEX('同比基准(2025年7月)'!$B:$B,MATCH(A180,'同比基准(2025年7月)'!$A:$A,0))=0,"",(D180-INDEX('同比基准(2025年7月)'!$B:$B,MATCH(A180,'同比基准(2025年7月)'!$A:$A,0)))/INDEX('同比基准(2025年7月)'!$B:$B,MATCH(A180,'同比基准(2025年7月)'!$A:$A,0))))</f>
        <v/>
      </c>
      <c r="F180" s="4" t="n">
        <v>0</v>
      </c>
      <c r="G180" s="5">
        <f>IF(COUNTIF('同比基准(2025年7月)'!$A:$A,A180)=0,"新增",IF(INDEX('同比基准(2025年7月)'!$C:$C,MATCH(A180,'同比基准(2025年7月)'!$A:$A,0))=0,"",(F180-INDEX('同比基准(2025年7月)'!$C:$C,MATCH(A180,'同比基准(2025年7月)'!$A:$A,0)))/INDEX('同比基准(2025年7月)'!$C:$C,MATCH(A180,'同比基准(2025年7月)'!$A:$A,0))))</f>
        <v/>
      </c>
    </row>
    <row r="181">
      <c r="A181" s="2" t="inlineStr">
        <is>
          <t>乐乐茶</t>
        </is>
      </c>
      <c r="B181" s="3" t="inlineStr">
        <is>
          <t>餐饮</t>
        </is>
      </c>
      <c r="C181" s="3" t="inlineStr">
        <is>
          <t>休闲餐饮</t>
        </is>
      </c>
      <c r="D181" s="4" t="n">
        <v>138791.67</v>
      </c>
      <c r="E181" s="5">
        <f>IF(COUNTIF('同比基准(2025年7月)'!$A:$A,A181)=0,"新增",IF(INDEX('同比基准(2025年7月)'!$B:$B,MATCH(A181,'同比基准(2025年7月)'!$A:$A,0))=0,"",(D181-INDEX('同比基准(2025年7月)'!$B:$B,MATCH(A181,'同比基准(2025年7月)'!$A:$A,0)))/INDEX('同比基准(2025年7月)'!$B:$B,MATCH(A181,'同比基准(2025年7月)'!$A:$A,0))))</f>
        <v/>
      </c>
      <c r="F181" s="4" t="n">
        <v>0</v>
      </c>
      <c r="G181" s="5">
        <f>IF(COUNTIF('同比基准(2025年7月)'!$A:$A,A181)=0,"新增",IF(INDEX('同比基准(2025年7月)'!$C:$C,MATCH(A181,'同比基准(2025年7月)'!$A:$A,0))=0,"",(F181-INDEX('同比基准(2025年7月)'!$C:$C,MATCH(A181,'同比基准(2025年7月)'!$A:$A,0)))/INDEX('同比基准(2025年7月)'!$C:$C,MATCH(A181,'同比基准(2025年7月)'!$A:$A,0))))</f>
        <v/>
      </c>
    </row>
    <row r="182">
      <c r="A182" s="2" t="inlineStr">
        <is>
          <t>Dairy Queen</t>
        </is>
      </c>
      <c r="B182" s="3" t="inlineStr">
        <is>
          <t>餐饮</t>
        </is>
      </c>
      <c r="C182" s="3" t="inlineStr">
        <is>
          <t>休闲餐饮</t>
        </is>
      </c>
      <c r="D182" s="4" t="n">
        <v>134042.91</v>
      </c>
      <c r="E182" s="5">
        <f>IF(COUNTIF('同比基准(2025年7月)'!$A:$A,A182)=0,"新增",IF(INDEX('同比基准(2025年7月)'!$B:$B,MATCH(A182,'同比基准(2025年7月)'!$A:$A,0))=0,"",(D182-INDEX('同比基准(2025年7月)'!$B:$B,MATCH(A182,'同比基准(2025年7月)'!$A:$A,0)))/INDEX('同比基准(2025年7月)'!$B:$B,MATCH(A182,'同比基准(2025年7月)'!$A:$A,0))))</f>
        <v/>
      </c>
      <c r="F182" s="4" t="n">
        <v>0</v>
      </c>
      <c r="G182" s="5">
        <f>IF(COUNTIF('同比基准(2025年7月)'!$A:$A,A182)=0,"新增",IF(INDEX('同比基准(2025年7月)'!$C:$C,MATCH(A182,'同比基准(2025年7月)'!$A:$A,0))=0,"",(F182-INDEX('同比基准(2025年7月)'!$C:$C,MATCH(A182,'同比基准(2025年7月)'!$A:$A,0)))/INDEX('同比基准(2025年7月)'!$C:$C,MATCH(A182,'同比基准(2025年7月)'!$A:$A,0))))</f>
        <v/>
      </c>
    </row>
    <row r="183">
      <c r="A183" s="2" t="inlineStr">
        <is>
          <t>Y&amp;S  PILATES</t>
        </is>
      </c>
      <c r="B183" s="3" t="inlineStr">
        <is>
          <t>服务</t>
        </is>
      </c>
      <c r="C183" s="3" t="inlineStr">
        <is>
          <t>美容美体保健</t>
        </is>
      </c>
      <c r="D183" s="4" t="n">
        <v>131602</v>
      </c>
      <c r="E183" s="5">
        <f>IF(COUNTIF('同比基准(2025年7月)'!$A:$A,A183)=0,"新增",IF(INDEX('同比基准(2025年7月)'!$B:$B,MATCH(A183,'同比基准(2025年7月)'!$A:$A,0))=0,"",(D183-INDEX('同比基准(2025年7月)'!$B:$B,MATCH(A183,'同比基准(2025年7月)'!$A:$A,0)))/INDEX('同比基准(2025年7月)'!$B:$B,MATCH(A183,'同比基准(2025年7月)'!$A:$A,0))))</f>
        <v/>
      </c>
      <c r="F183" s="4" t="n">
        <v>0</v>
      </c>
      <c r="G183" s="5">
        <f>IF(COUNTIF('同比基准(2025年7月)'!$A:$A,A183)=0,"新增",IF(INDEX('同比基准(2025年7月)'!$C:$C,MATCH(A183,'同比基准(2025年7月)'!$A:$A,0))=0,"",(F183-INDEX('同比基准(2025年7月)'!$C:$C,MATCH(A183,'同比基准(2025年7月)'!$A:$A,0)))/INDEX('同比基准(2025年7月)'!$C:$C,MATCH(A183,'同比基准(2025年7月)'!$A:$A,0))))</f>
        <v/>
      </c>
    </row>
    <row r="184">
      <c r="A184" s="2" t="inlineStr">
        <is>
          <t>玛米玛卡</t>
        </is>
      </c>
      <c r="B184" s="3" t="inlineStr">
        <is>
          <t>零售</t>
        </is>
      </c>
      <c r="C184" s="3" t="inlineStr">
        <is>
          <t>儿童用品</t>
        </is>
      </c>
      <c r="D184" s="4" t="n">
        <v>131436.48</v>
      </c>
      <c r="E184" s="5">
        <f>IF(COUNTIF('同比基准(2025年7月)'!$A:$A,A184)=0,"新增",IF(INDEX('同比基准(2025年7月)'!$B:$B,MATCH(A184,'同比基准(2025年7月)'!$A:$A,0))=0,"",(D184-INDEX('同比基准(2025年7月)'!$B:$B,MATCH(A184,'同比基准(2025年7月)'!$A:$A,0)))/INDEX('同比基准(2025年7月)'!$B:$B,MATCH(A184,'同比基准(2025年7月)'!$A:$A,0))))</f>
        <v/>
      </c>
      <c r="F184" s="4" t="n">
        <v>0</v>
      </c>
      <c r="G184" s="5">
        <f>IF(COUNTIF('同比基准(2025年7月)'!$A:$A,A184)=0,"新增",IF(INDEX('同比基准(2025年7月)'!$C:$C,MATCH(A184,'同比基准(2025年7月)'!$A:$A,0))=0,"",(F184-INDEX('同比基准(2025年7月)'!$C:$C,MATCH(A184,'同比基准(2025年7月)'!$A:$A,0)))/INDEX('同比基准(2025年7月)'!$C:$C,MATCH(A184,'同比基准(2025年7月)'!$A:$A,0))))</f>
        <v/>
      </c>
    </row>
    <row r="185">
      <c r="A185" s="2" t="inlineStr">
        <is>
          <t>奥莉</t>
        </is>
      </c>
      <c r="B185" s="3" t="inlineStr">
        <is>
          <t>零售</t>
        </is>
      </c>
      <c r="C185" s="3" t="inlineStr">
        <is>
          <t>服装服饰</t>
        </is>
      </c>
      <c r="D185" s="4" t="n">
        <v>130362.24</v>
      </c>
      <c r="E185" s="5">
        <f>IF(COUNTIF('同比基准(2025年7月)'!$A:$A,A185)=0,"新增",IF(INDEX('同比基准(2025年7月)'!$B:$B,MATCH(A185,'同比基准(2025年7月)'!$A:$A,0))=0,"",(D185-INDEX('同比基准(2025年7月)'!$B:$B,MATCH(A185,'同比基准(2025年7月)'!$A:$A,0)))/INDEX('同比基准(2025年7月)'!$B:$B,MATCH(A185,'同比基准(2025年7月)'!$A:$A,0))))</f>
        <v/>
      </c>
      <c r="F185" s="4" t="n">
        <v>0</v>
      </c>
      <c r="G185" s="5">
        <f>IF(COUNTIF('同比基准(2025年7月)'!$A:$A,A185)=0,"新增",IF(INDEX('同比基准(2025年7月)'!$C:$C,MATCH(A185,'同比基准(2025年7月)'!$A:$A,0))=0,"",(F185-INDEX('同比基准(2025年7月)'!$C:$C,MATCH(A185,'同比基准(2025年7月)'!$A:$A,0)))/INDEX('同比基准(2025年7月)'!$C:$C,MATCH(A185,'同比基准(2025年7月)'!$A:$A,0))))</f>
        <v/>
      </c>
    </row>
    <row r="186">
      <c r="A186" s="2" t="inlineStr">
        <is>
          <t>鮨人</t>
        </is>
      </c>
      <c r="B186" s="3" t="inlineStr">
        <is>
          <t>餐饮</t>
        </is>
      </c>
      <c r="C186" s="3" t="inlineStr">
        <is>
          <t>休闲餐饮</t>
        </is>
      </c>
      <c r="D186" s="4" t="n">
        <v>128494.61</v>
      </c>
      <c r="E186" s="5">
        <f>IF(COUNTIF('同比基准(2025年7月)'!$A:$A,A186)=0,"新增",IF(INDEX('同比基准(2025年7月)'!$B:$B,MATCH(A186,'同比基准(2025年7月)'!$A:$A,0))=0,"",(D186-INDEX('同比基准(2025年7月)'!$B:$B,MATCH(A186,'同比基准(2025年7月)'!$A:$A,0)))/INDEX('同比基准(2025年7月)'!$B:$B,MATCH(A186,'同比基准(2025年7月)'!$A:$A,0))))</f>
        <v/>
      </c>
      <c r="F186" s="4" t="n">
        <v>0</v>
      </c>
      <c r="G186" s="5">
        <f>IF(COUNTIF('同比基准(2025年7月)'!$A:$A,A186)=0,"新增",IF(INDEX('同比基准(2025年7月)'!$C:$C,MATCH(A186,'同比基准(2025年7月)'!$A:$A,0))=0,"",(F186-INDEX('同比基准(2025年7月)'!$C:$C,MATCH(A186,'同比基准(2025年7月)'!$A:$A,0)))/INDEX('同比基准(2025年7月)'!$C:$C,MATCH(A186,'同比基准(2025年7月)'!$A:$A,0))))</f>
        <v/>
      </c>
    </row>
    <row r="187">
      <c r="A187" s="2" t="inlineStr">
        <is>
          <t>小棉大作</t>
        </is>
      </c>
      <c r="B187" s="3" t="inlineStr">
        <is>
          <t>零售</t>
        </is>
      </c>
      <c r="C187" s="3" t="inlineStr">
        <is>
          <t>服装服饰</t>
        </is>
      </c>
      <c r="D187" s="4" t="n">
        <v>125079.77</v>
      </c>
      <c r="E187" s="5">
        <f>IF(COUNTIF('同比基准(2025年7月)'!$A:$A,A187)=0,"新增",IF(INDEX('同比基准(2025年7月)'!$B:$B,MATCH(A187,'同比基准(2025年7月)'!$A:$A,0))=0,"",(D187-INDEX('同比基准(2025年7月)'!$B:$B,MATCH(A187,'同比基准(2025年7月)'!$A:$A,0)))/INDEX('同比基准(2025年7月)'!$B:$B,MATCH(A187,'同比基准(2025年7月)'!$A:$A,0))))</f>
        <v/>
      </c>
      <c r="F187" s="4" t="n">
        <v>0</v>
      </c>
      <c r="G187" s="5">
        <f>IF(COUNTIF('同比基准(2025年7月)'!$A:$A,A187)=0,"新增",IF(INDEX('同比基准(2025年7月)'!$C:$C,MATCH(A187,'同比基准(2025年7月)'!$A:$A,0))=0,"",(F187-INDEX('同比基准(2025年7月)'!$C:$C,MATCH(A187,'同比基准(2025年7月)'!$A:$A,0)))/INDEX('同比基准(2025年7月)'!$C:$C,MATCH(A187,'同比基准(2025年7月)'!$A:$A,0))))</f>
        <v/>
      </c>
    </row>
    <row r="188">
      <c r="A188" s="2" t="inlineStr">
        <is>
          <t>哥弟</t>
        </is>
      </c>
      <c r="B188" s="3" t="inlineStr">
        <is>
          <t>零售</t>
        </is>
      </c>
      <c r="C188" s="3" t="inlineStr">
        <is>
          <t>服装服饰</t>
        </is>
      </c>
      <c r="D188" s="4" t="n">
        <v>124730</v>
      </c>
      <c r="E188" s="5">
        <f>IF(COUNTIF('同比基准(2025年7月)'!$A:$A,A188)=0,"新增",IF(INDEX('同比基准(2025年7月)'!$B:$B,MATCH(A188,'同比基准(2025年7月)'!$A:$A,0))=0,"",(D188-INDEX('同比基准(2025年7月)'!$B:$B,MATCH(A188,'同比基准(2025年7月)'!$A:$A,0)))/INDEX('同比基准(2025年7月)'!$B:$B,MATCH(A188,'同比基准(2025年7月)'!$A:$A,0))))</f>
        <v/>
      </c>
      <c r="F188" s="4" t="n">
        <v>0</v>
      </c>
      <c r="G188" s="5">
        <f>IF(COUNTIF('同比基准(2025年7月)'!$A:$A,A188)=0,"新增",IF(INDEX('同比基准(2025年7月)'!$C:$C,MATCH(A188,'同比基准(2025年7月)'!$A:$A,0))=0,"",(F188-INDEX('同比基准(2025年7月)'!$C:$C,MATCH(A188,'同比基准(2025年7月)'!$A:$A,0)))/INDEX('同比基准(2025年7月)'!$C:$C,MATCH(A188,'同比基准(2025年7月)'!$A:$A,0))))</f>
        <v/>
      </c>
    </row>
    <row r="189">
      <c r="A189" s="2" t="inlineStr">
        <is>
          <t>暴龙</t>
        </is>
      </c>
      <c r="B189" s="3" t="inlineStr">
        <is>
          <t>零售</t>
        </is>
      </c>
      <c r="C189" s="3" t="inlineStr">
        <is>
          <t>服装服饰</t>
        </is>
      </c>
      <c r="D189" s="4" t="n">
        <v>122590.2</v>
      </c>
      <c r="E189" s="5">
        <f>IF(COUNTIF('同比基准(2025年7月)'!$A:$A,A189)=0,"新增",IF(INDEX('同比基准(2025年7月)'!$B:$B,MATCH(A189,'同比基准(2025年7月)'!$A:$A,0))=0,"",(D189-INDEX('同比基准(2025年7月)'!$B:$B,MATCH(A189,'同比基准(2025年7月)'!$A:$A,0)))/INDEX('同比基准(2025年7月)'!$B:$B,MATCH(A189,'同比基准(2025年7月)'!$A:$A,0))))</f>
        <v/>
      </c>
      <c r="F189" s="4" t="n">
        <v>0</v>
      </c>
      <c r="G189" s="5">
        <f>IF(COUNTIF('同比基准(2025年7月)'!$A:$A,A189)=0,"新增",IF(INDEX('同比基准(2025年7月)'!$C:$C,MATCH(A189,'同比基准(2025年7月)'!$A:$A,0))=0,"",(F189-INDEX('同比基准(2025年7月)'!$C:$C,MATCH(A189,'同比基准(2025年7月)'!$A:$A,0)))/INDEX('同比基准(2025年7月)'!$C:$C,MATCH(A189,'同比基准(2025年7月)'!$A:$A,0))))</f>
        <v/>
      </c>
    </row>
    <row r="190">
      <c r="A190" s="2" t="inlineStr">
        <is>
          <t>LEVI'S</t>
        </is>
      </c>
      <c r="B190" s="3" t="inlineStr">
        <is>
          <t>零售</t>
        </is>
      </c>
      <c r="C190" s="3" t="inlineStr">
        <is>
          <t>服装服饰</t>
        </is>
      </c>
      <c r="D190" s="4" t="n">
        <v>122246</v>
      </c>
      <c r="E190" s="5">
        <f>IF(COUNTIF('同比基准(2025年7月)'!$A:$A,A190)=0,"新增",IF(INDEX('同比基准(2025年7月)'!$B:$B,MATCH(A190,'同比基准(2025年7月)'!$A:$A,0))=0,"",(D190-INDEX('同比基准(2025年7月)'!$B:$B,MATCH(A190,'同比基准(2025年7月)'!$A:$A,0)))/INDEX('同比基准(2025年7月)'!$B:$B,MATCH(A190,'同比基准(2025年7月)'!$A:$A,0))))</f>
        <v/>
      </c>
      <c r="F190" s="4" t="n">
        <v>0</v>
      </c>
      <c r="G190" s="5">
        <f>IF(COUNTIF('同比基准(2025年7月)'!$A:$A,A190)=0,"新增",IF(INDEX('同比基准(2025年7月)'!$C:$C,MATCH(A190,'同比基准(2025年7月)'!$A:$A,0))=0,"",(F190-INDEX('同比基准(2025年7月)'!$C:$C,MATCH(A190,'同比基准(2025年7月)'!$A:$A,0)))/INDEX('同比基准(2025年7月)'!$C:$C,MATCH(A190,'同比基准(2025年7月)'!$A:$A,0))))</f>
        <v/>
      </c>
    </row>
    <row r="191">
      <c r="A191" s="2" t="inlineStr">
        <is>
          <t>超级史莱姆魔法星球</t>
        </is>
      </c>
      <c r="B191" s="3" t="inlineStr">
        <is>
          <t>娱乐</t>
        </is>
      </c>
      <c r="C191" s="3" t="inlineStr">
        <is>
          <t>娱乐（儿童职场）</t>
        </is>
      </c>
      <c r="D191" s="4" t="n">
        <v>120328.1</v>
      </c>
      <c r="E191" s="5">
        <f>IF(COUNTIF('同比基准(2025年7月)'!$A:$A,A191)=0,"新增",IF(INDEX('同比基准(2025年7月)'!$B:$B,MATCH(A191,'同比基准(2025年7月)'!$A:$A,0))=0,"",(D191-INDEX('同比基准(2025年7月)'!$B:$B,MATCH(A191,'同比基准(2025年7月)'!$A:$A,0)))/INDEX('同比基准(2025年7月)'!$B:$B,MATCH(A191,'同比基准(2025年7月)'!$A:$A,0))))</f>
        <v/>
      </c>
      <c r="F191" s="4" t="n">
        <v>0</v>
      </c>
      <c r="G191" s="5">
        <f>IF(COUNTIF('同比基准(2025年7月)'!$A:$A,A191)=0,"新增",IF(INDEX('同比基准(2025年7月)'!$C:$C,MATCH(A191,'同比基准(2025年7月)'!$A:$A,0))=0,"",(F191-INDEX('同比基准(2025年7月)'!$C:$C,MATCH(A191,'同比基准(2025年7月)'!$A:$A,0)))/INDEX('同比基准(2025年7月)'!$C:$C,MATCH(A191,'同比基准(2025年7月)'!$A:$A,0))))</f>
        <v/>
      </c>
    </row>
    <row r="192">
      <c r="A192" s="2" t="inlineStr">
        <is>
          <t>anta kids</t>
        </is>
      </c>
      <c r="B192" s="3" t="inlineStr">
        <is>
          <t>零售</t>
        </is>
      </c>
      <c r="C192" s="3" t="inlineStr">
        <is>
          <t>儿童用品</t>
        </is>
      </c>
      <c r="D192" s="4" t="n">
        <v>119146.38</v>
      </c>
      <c r="E192" s="5">
        <f>IF(COUNTIF('同比基准(2025年7月)'!$A:$A,A192)=0,"新增",IF(INDEX('同比基准(2025年7月)'!$B:$B,MATCH(A192,'同比基准(2025年7月)'!$A:$A,0))=0,"",(D192-INDEX('同比基准(2025年7月)'!$B:$B,MATCH(A192,'同比基准(2025年7月)'!$A:$A,0)))/INDEX('同比基准(2025年7月)'!$B:$B,MATCH(A192,'同比基准(2025年7月)'!$A:$A,0))))</f>
        <v/>
      </c>
      <c r="F192" s="4" t="n">
        <v>0</v>
      </c>
      <c r="G192" s="5">
        <f>IF(COUNTIF('同比基准(2025年7月)'!$A:$A,A192)=0,"新增",IF(INDEX('同比基准(2025年7月)'!$C:$C,MATCH(A192,'同比基准(2025年7月)'!$A:$A,0))=0,"",(F192-INDEX('同比基准(2025年7月)'!$C:$C,MATCH(A192,'同比基准(2025年7月)'!$A:$A,0)))/INDEX('同比基准(2025年7月)'!$C:$C,MATCH(A192,'同比基准(2025年7月)'!$A:$A,0))))</f>
        <v/>
      </c>
    </row>
    <row r="193">
      <c r="A193" s="2" t="inlineStr">
        <is>
          <t>迪卡轩</t>
        </is>
      </c>
      <c r="B193" s="3" t="inlineStr">
        <is>
          <t>零售</t>
        </is>
      </c>
      <c r="C193" s="3" t="inlineStr">
        <is>
          <t>服装服饰</t>
        </is>
      </c>
      <c r="D193" s="4" t="n">
        <v>114924</v>
      </c>
      <c r="E193" s="5">
        <f>IF(COUNTIF('同比基准(2025年7月)'!$A:$A,A193)=0,"新增",IF(INDEX('同比基准(2025年7月)'!$B:$B,MATCH(A193,'同比基准(2025年7月)'!$A:$A,0))=0,"",(D193-INDEX('同比基准(2025年7月)'!$B:$B,MATCH(A193,'同比基准(2025年7月)'!$A:$A,0)))/INDEX('同比基准(2025年7月)'!$B:$B,MATCH(A193,'同比基准(2025年7月)'!$A:$A,0))))</f>
        <v/>
      </c>
      <c r="F193" s="4" t="n">
        <v>0</v>
      </c>
      <c r="G193" s="5">
        <f>IF(COUNTIF('同比基准(2025年7月)'!$A:$A,A193)=0,"新增",IF(INDEX('同比基准(2025年7月)'!$C:$C,MATCH(A193,'同比基准(2025年7月)'!$A:$A,0))=0,"",(F193-INDEX('同比基准(2025年7月)'!$C:$C,MATCH(A193,'同比基准(2025年7月)'!$A:$A,0)))/INDEX('同比基准(2025年7月)'!$C:$C,MATCH(A193,'同比基准(2025年7月)'!$A:$A,0))))</f>
        <v/>
      </c>
    </row>
    <row r="194">
      <c r="A194" s="2" t="inlineStr">
        <is>
          <t>满巍明</t>
        </is>
      </c>
      <c r="B194" s="3" t="inlineStr">
        <is>
          <t>餐饮</t>
        </is>
      </c>
      <c r="C194" s="3" t="inlineStr">
        <is>
          <t>休闲餐饮</t>
        </is>
      </c>
      <c r="D194" s="4" t="n">
        <v>113001.65</v>
      </c>
      <c r="E194" s="5">
        <f>IF(COUNTIF('同比基准(2025年7月)'!$A:$A,A194)=0,"新增",IF(INDEX('同比基准(2025年7月)'!$B:$B,MATCH(A194,'同比基准(2025年7月)'!$A:$A,0))=0,"",(D194-INDEX('同比基准(2025年7月)'!$B:$B,MATCH(A194,'同比基准(2025年7月)'!$A:$A,0)))/INDEX('同比基准(2025年7月)'!$B:$B,MATCH(A194,'同比基准(2025年7月)'!$A:$A,0))))</f>
        <v/>
      </c>
      <c r="F194" s="4" t="n">
        <v>0</v>
      </c>
      <c r="G194" s="5">
        <f>IF(COUNTIF('同比基准(2025年7月)'!$A:$A,A194)=0,"新增",IF(INDEX('同比基准(2025年7月)'!$C:$C,MATCH(A194,'同比基准(2025年7月)'!$A:$A,0))=0,"",(F194-INDEX('同比基准(2025年7月)'!$C:$C,MATCH(A194,'同比基准(2025年7月)'!$A:$A,0)))/INDEX('同比基准(2025年7月)'!$C:$C,MATCH(A194,'同比基准(2025年7月)'!$A:$A,0))))</f>
        <v/>
      </c>
    </row>
    <row r="195">
      <c r="A195" s="2" t="inlineStr">
        <is>
          <t>派悦坊</t>
        </is>
      </c>
      <c r="B195" s="3" t="inlineStr">
        <is>
          <t>餐饮</t>
        </is>
      </c>
      <c r="C195" s="3" t="inlineStr">
        <is>
          <t>休闲餐饮</t>
        </is>
      </c>
      <c r="D195" s="4" t="n">
        <v>112444.87</v>
      </c>
      <c r="E195" s="5">
        <f>IF(COUNTIF('同比基准(2025年7月)'!$A:$A,A195)=0,"新增",IF(INDEX('同比基准(2025年7月)'!$B:$B,MATCH(A195,'同比基准(2025年7月)'!$A:$A,0))=0,"",(D195-INDEX('同比基准(2025年7月)'!$B:$B,MATCH(A195,'同比基准(2025年7月)'!$A:$A,0)))/INDEX('同比基准(2025年7月)'!$B:$B,MATCH(A195,'同比基准(2025年7月)'!$A:$A,0))))</f>
        <v/>
      </c>
      <c r="F195" s="4" t="n">
        <v>0</v>
      </c>
      <c r="G195" s="5">
        <f>IF(COUNTIF('同比基准(2025年7月)'!$A:$A,A195)=0,"新增",IF(INDEX('同比基准(2025年7月)'!$C:$C,MATCH(A195,'同比基准(2025年7月)'!$A:$A,0))=0,"",(F195-INDEX('同比基准(2025年7月)'!$C:$C,MATCH(A195,'同比基准(2025年7月)'!$A:$A,0)))/INDEX('同比基准(2025年7月)'!$C:$C,MATCH(A195,'同比基准(2025年7月)'!$A:$A,0))))</f>
        <v/>
      </c>
    </row>
    <row r="196">
      <c r="A196" s="2" t="inlineStr">
        <is>
          <t>小天才</t>
        </is>
      </c>
      <c r="B196" s="3" t="inlineStr">
        <is>
          <t>零售</t>
        </is>
      </c>
      <c r="C196" s="3" t="inlineStr">
        <is>
          <t>数码电器</t>
        </is>
      </c>
      <c r="D196" s="4" t="n">
        <v>111795</v>
      </c>
      <c r="E196" s="5">
        <f>IF(COUNTIF('同比基准(2025年7月)'!$A:$A,A196)=0,"新增",IF(INDEX('同比基准(2025年7月)'!$B:$B,MATCH(A196,'同比基准(2025年7月)'!$A:$A,0))=0,"",(D196-INDEX('同比基准(2025年7月)'!$B:$B,MATCH(A196,'同比基准(2025年7月)'!$A:$A,0)))/INDEX('同比基准(2025年7月)'!$B:$B,MATCH(A196,'同比基准(2025年7月)'!$A:$A,0))))</f>
        <v/>
      </c>
      <c r="F196" s="4" t="n">
        <v>0</v>
      </c>
      <c r="G196" s="5">
        <f>IF(COUNTIF('同比基准(2025年7月)'!$A:$A,A196)=0,"新增",IF(INDEX('同比基准(2025年7月)'!$C:$C,MATCH(A196,'同比基准(2025年7月)'!$A:$A,0))=0,"",(F196-INDEX('同比基准(2025年7月)'!$C:$C,MATCH(A196,'同比基准(2025年7月)'!$A:$A,0)))/INDEX('同比基准(2025年7月)'!$C:$C,MATCH(A196,'同比基准(2025年7月)'!$A:$A,0))))</f>
        <v/>
      </c>
    </row>
    <row r="197">
      <c r="A197" s="2" t="inlineStr">
        <is>
          <t>恐龙爱迪</t>
        </is>
      </c>
      <c r="B197" s="3" t="inlineStr">
        <is>
          <t>娱乐</t>
        </is>
      </c>
      <c r="C197" s="3" t="inlineStr">
        <is>
          <t>成人娱乐</t>
        </is>
      </c>
      <c r="D197" s="4" t="n">
        <v>108141.6</v>
      </c>
      <c r="E197" s="5">
        <f>IF(COUNTIF('同比基准(2025年7月)'!$A:$A,A197)=0,"新增",IF(INDEX('同比基准(2025年7月)'!$B:$B,MATCH(A197,'同比基准(2025年7月)'!$A:$A,0))=0,"",(D197-INDEX('同比基准(2025年7月)'!$B:$B,MATCH(A197,'同比基准(2025年7月)'!$A:$A,0)))/INDEX('同比基准(2025年7月)'!$B:$B,MATCH(A197,'同比基准(2025年7月)'!$A:$A,0))))</f>
        <v/>
      </c>
      <c r="F197" s="4" t="n">
        <v>0</v>
      </c>
      <c r="G197" s="5">
        <f>IF(COUNTIF('同比基准(2025年7月)'!$A:$A,A197)=0,"新增",IF(INDEX('同比基准(2025年7月)'!$C:$C,MATCH(A197,'同比基准(2025年7月)'!$A:$A,0))=0,"",(F197-INDEX('同比基准(2025年7月)'!$C:$C,MATCH(A197,'同比基准(2025年7月)'!$A:$A,0)))/INDEX('同比基准(2025年7月)'!$C:$C,MATCH(A197,'同比基准(2025年7月)'!$A:$A,0))))</f>
        <v/>
      </c>
    </row>
    <row r="198">
      <c r="A198" s="2" t="inlineStr">
        <is>
          <t>东方墨蘭</t>
        </is>
      </c>
      <c r="B198" s="3" t="inlineStr">
        <is>
          <t>餐饮</t>
        </is>
      </c>
      <c r="C198" s="3" t="inlineStr">
        <is>
          <t>休闲餐饮</t>
        </is>
      </c>
      <c r="D198" s="4" t="n">
        <v>106612.49</v>
      </c>
      <c r="E198" s="5">
        <f>IF(COUNTIF('同比基准(2025年7月)'!$A:$A,A198)=0,"新增",IF(INDEX('同比基准(2025年7月)'!$B:$B,MATCH(A198,'同比基准(2025年7月)'!$A:$A,0))=0,"",(D198-INDEX('同比基准(2025年7月)'!$B:$B,MATCH(A198,'同比基准(2025年7月)'!$A:$A,0)))/INDEX('同比基准(2025年7月)'!$B:$B,MATCH(A198,'同比基准(2025年7月)'!$A:$A,0))))</f>
        <v/>
      </c>
      <c r="F198" s="4" t="n">
        <v>0</v>
      </c>
      <c r="G198" s="5">
        <f>IF(COUNTIF('同比基准(2025年7月)'!$A:$A,A198)=0,"新增",IF(INDEX('同比基准(2025年7月)'!$C:$C,MATCH(A198,'同比基准(2025年7月)'!$A:$A,0))=0,"",(F198-INDEX('同比基准(2025年7月)'!$C:$C,MATCH(A198,'同比基准(2025年7月)'!$A:$A,0)))/INDEX('同比基准(2025年7月)'!$C:$C,MATCH(A198,'同比基准(2025年7月)'!$A:$A,0))))</f>
        <v/>
      </c>
    </row>
    <row r="199">
      <c r="A199" s="2" t="inlineStr">
        <is>
          <t>煲珠公</t>
        </is>
      </c>
      <c r="B199" s="3" t="inlineStr">
        <is>
          <t>餐饮</t>
        </is>
      </c>
      <c r="C199" s="3" t="inlineStr">
        <is>
          <t>休闲餐饮</t>
        </is>
      </c>
      <c r="D199" s="4" t="n">
        <v>106080.95</v>
      </c>
      <c r="E199" s="5">
        <f>IF(COUNTIF('同比基准(2025年7月)'!$A:$A,A199)=0,"新增",IF(INDEX('同比基准(2025年7月)'!$B:$B,MATCH(A199,'同比基准(2025年7月)'!$A:$A,0))=0,"",(D199-INDEX('同比基准(2025年7月)'!$B:$B,MATCH(A199,'同比基准(2025年7月)'!$A:$A,0)))/INDEX('同比基准(2025年7月)'!$B:$B,MATCH(A199,'同比基准(2025年7月)'!$A:$A,0))))</f>
        <v/>
      </c>
      <c r="F199" s="4" t="n">
        <v>0</v>
      </c>
      <c r="G199" s="5">
        <f>IF(COUNTIF('同比基准(2025年7月)'!$A:$A,A199)=0,"新增",IF(INDEX('同比基准(2025年7月)'!$C:$C,MATCH(A199,'同比基准(2025年7月)'!$A:$A,0))=0,"",(F199-INDEX('同比基准(2025年7月)'!$C:$C,MATCH(A199,'同比基准(2025年7月)'!$A:$A,0)))/INDEX('同比基准(2025年7月)'!$C:$C,MATCH(A199,'同比基准(2025年7月)'!$A:$A,0))))</f>
        <v/>
      </c>
    </row>
    <row r="200">
      <c r="A200" s="2" t="inlineStr">
        <is>
          <t>米陀饭团</t>
        </is>
      </c>
      <c r="B200" s="3" t="inlineStr">
        <is>
          <t>餐饮</t>
        </is>
      </c>
      <c r="C200" s="3" t="inlineStr">
        <is>
          <t>快餐</t>
        </is>
      </c>
      <c r="D200" s="4" t="n">
        <v>104889.5</v>
      </c>
      <c r="E200" s="5">
        <f>IF(COUNTIF('同比基准(2025年7月)'!$A:$A,A200)=0,"新增",IF(INDEX('同比基准(2025年7月)'!$B:$B,MATCH(A200,'同比基准(2025年7月)'!$A:$A,0))=0,"",(D200-INDEX('同比基准(2025年7月)'!$B:$B,MATCH(A200,'同比基准(2025年7月)'!$A:$A,0)))/INDEX('同比基准(2025年7月)'!$B:$B,MATCH(A200,'同比基准(2025年7月)'!$A:$A,0))))</f>
        <v/>
      </c>
      <c r="F200" s="4" t="n">
        <v>0</v>
      </c>
      <c r="G200" s="5">
        <f>IF(COUNTIF('同比基准(2025年7月)'!$A:$A,A200)=0,"新增",IF(INDEX('同比基准(2025年7月)'!$C:$C,MATCH(A200,'同比基准(2025年7月)'!$A:$A,0))=0,"",(F200-INDEX('同比基准(2025年7月)'!$C:$C,MATCH(A200,'同比基准(2025年7月)'!$A:$A,0)))/INDEX('同比基准(2025年7月)'!$C:$C,MATCH(A200,'同比基准(2025年7月)'!$A:$A,0))))</f>
        <v/>
      </c>
    </row>
    <row r="201">
      <c r="A201" s="2" t="inlineStr">
        <is>
          <t>艾特里里</t>
        </is>
      </c>
      <c r="B201" s="3" t="inlineStr">
        <is>
          <t>零售</t>
        </is>
      </c>
      <c r="C201" s="3" t="inlineStr">
        <is>
          <t>服装服饰</t>
        </is>
      </c>
      <c r="D201" s="4" t="n">
        <v>104323.5</v>
      </c>
      <c r="E201" s="5">
        <f>IF(COUNTIF('同比基准(2025年7月)'!$A:$A,A201)=0,"新增",IF(INDEX('同比基准(2025年7月)'!$B:$B,MATCH(A201,'同比基准(2025年7月)'!$A:$A,0))=0,"",(D201-INDEX('同比基准(2025年7月)'!$B:$B,MATCH(A201,'同比基准(2025年7月)'!$A:$A,0)))/INDEX('同比基准(2025年7月)'!$B:$B,MATCH(A201,'同比基准(2025年7月)'!$A:$A,0))))</f>
        <v/>
      </c>
      <c r="F201" s="4" t="n">
        <v>0</v>
      </c>
      <c r="G201" s="5">
        <f>IF(COUNTIF('同比基准(2025年7月)'!$A:$A,A201)=0,"新增",IF(INDEX('同比基准(2025年7月)'!$C:$C,MATCH(A201,'同比基准(2025年7月)'!$A:$A,0))=0,"",(F201-INDEX('同比基准(2025年7月)'!$C:$C,MATCH(A201,'同比基准(2025年7月)'!$A:$A,0)))/INDEX('同比基准(2025年7月)'!$C:$C,MATCH(A201,'同比基准(2025年7月)'!$A:$A,0))))</f>
        <v/>
      </c>
    </row>
    <row r="202">
      <c r="A202" s="2" t="inlineStr">
        <is>
          <t>爱畅享(isharing)</t>
        </is>
      </c>
      <c r="B202" s="3" t="inlineStr">
        <is>
          <t>零售</t>
        </is>
      </c>
      <c r="C202" s="3" t="inlineStr">
        <is>
          <t>数码电器</t>
        </is>
      </c>
      <c r="D202" s="4" t="n">
        <v>103889.9</v>
      </c>
      <c r="E202" s="5">
        <f>IF(COUNTIF('同比基准(2025年7月)'!$A:$A,A202)=0,"新增",IF(INDEX('同比基准(2025年7月)'!$B:$B,MATCH(A202,'同比基准(2025年7月)'!$A:$A,0))=0,"",(D202-INDEX('同比基准(2025年7月)'!$B:$B,MATCH(A202,'同比基准(2025年7月)'!$A:$A,0)))/INDEX('同比基准(2025年7月)'!$B:$B,MATCH(A202,'同比基准(2025年7月)'!$A:$A,0))))</f>
        <v/>
      </c>
      <c r="F202" s="4" t="n">
        <v>0</v>
      </c>
      <c r="G202" s="5">
        <f>IF(COUNTIF('同比基准(2025年7月)'!$A:$A,A202)=0,"新增",IF(INDEX('同比基准(2025年7月)'!$C:$C,MATCH(A202,'同比基准(2025年7月)'!$A:$A,0))=0,"",(F202-INDEX('同比基准(2025年7月)'!$C:$C,MATCH(A202,'同比基准(2025年7月)'!$A:$A,0)))/INDEX('同比基准(2025年7月)'!$C:$C,MATCH(A202,'同比基准(2025年7月)'!$A:$A,0))))</f>
        <v/>
      </c>
    </row>
    <row r="203">
      <c r="A203" s="2" t="inlineStr">
        <is>
          <t>长风</t>
        </is>
      </c>
      <c r="B203" s="3" t="inlineStr">
        <is>
          <t>服务</t>
        </is>
      </c>
      <c r="C203" s="3" t="inlineStr">
        <is>
          <t>美容美体保健</t>
        </is>
      </c>
      <c r="D203" s="4" t="n">
        <v>103673.38</v>
      </c>
      <c r="E203" s="5">
        <f>IF(COUNTIF('同比基准(2025年7月)'!$A:$A,A203)=0,"新增",IF(INDEX('同比基准(2025年7月)'!$B:$B,MATCH(A203,'同比基准(2025年7月)'!$A:$A,0))=0,"",(D203-INDEX('同比基准(2025年7月)'!$B:$B,MATCH(A203,'同比基准(2025年7月)'!$A:$A,0)))/INDEX('同比基准(2025年7月)'!$B:$B,MATCH(A203,'同比基准(2025年7月)'!$A:$A,0))))</f>
        <v/>
      </c>
      <c r="F203" s="4" t="n">
        <v>0</v>
      </c>
      <c r="G203" s="5">
        <f>IF(COUNTIF('同比基准(2025年7月)'!$A:$A,A203)=0,"新增",IF(INDEX('同比基准(2025年7月)'!$C:$C,MATCH(A203,'同比基准(2025年7月)'!$A:$A,0))=0,"",(F203-INDEX('同比基准(2025年7月)'!$C:$C,MATCH(A203,'同比基准(2025年7月)'!$A:$A,0)))/INDEX('同比基准(2025年7月)'!$C:$C,MATCH(A203,'同比基准(2025年7月)'!$A:$A,0))))</f>
        <v/>
      </c>
    </row>
    <row r="204">
      <c r="A204" s="2" t="inlineStr">
        <is>
          <t>茶救星球</t>
        </is>
      </c>
      <c r="B204" s="3" t="inlineStr">
        <is>
          <t>餐饮</t>
        </is>
      </c>
      <c r="C204" s="3" t="inlineStr">
        <is>
          <t>休闲餐饮</t>
        </is>
      </c>
      <c r="D204" s="4" t="n">
        <v>99242.87</v>
      </c>
      <c r="E204" s="5">
        <f>IF(COUNTIF('同比基准(2025年7月)'!$A:$A,A204)=0,"新增",IF(INDEX('同比基准(2025年7月)'!$B:$B,MATCH(A204,'同比基准(2025年7月)'!$A:$A,0))=0,"",(D204-INDEX('同比基准(2025年7月)'!$B:$B,MATCH(A204,'同比基准(2025年7月)'!$A:$A,0)))/INDEX('同比基准(2025年7月)'!$B:$B,MATCH(A204,'同比基准(2025年7月)'!$A:$A,0))))</f>
        <v/>
      </c>
      <c r="F204" s="4" t="n">
        <v>0</v>
      </c>
      <c r="G204" s="5">
        <f>IF(COUNTIF('同比基准(2025年7月)'!$A:$A,A204)=0,"新增",IF(INDEX('同比基准(2025年7月)'!$C:$C,MATCH(A204,'同比基准(2025年7月)'!$A:$A,0))=0,"",(F204-INDEX('同比基准(2025年7月)'!$C:$C,MATCH(A204,'同比基准(2025年7月)'!$A:$A,0)))/INDEX('同比基准(2025年7月)'!$C:$C,MATCH(A204,'同比基准(2025年7月)'!$A:$A,0))))</f>
        <v/>
      </c>
    </row>
    <row r="205">
      <c r="A205" s="2" t="inlineStr">
        <is>
          <t>唐捌久</t>
        </is>
      </c>
      <c r="B205" s="3" t="inlineStr">
        <is>
          <t>餐饮</t>
        </is>
      </c>
      <c r="C205" s="3" t="inlineStr">
        <is>
          <t>休闲餐饮</t>
        </is>
      </c>
      <c r="D205" s="4" t="n">
        <v>98546.97</v>
      </c>
      <c r="E205" s="5">
        <f>IF(COUNTIF('同比基准(2025年7月)'!$A:$A,A205)=0,"新增",IF(INDEX('同比基准(2025年7月)'!$B:$B,MATCH(A205,'同比基准(2025年7月)'!$A:$A,0))=0,"",(D205-INDEX('同比基准(2025年7月)'!$B:$B,MATCH(A205,'同比基准(2025年7月)'!$A:$A,0)))/INDEX('同比基准(2025年7月)'!$B:$B,MATCH(A205,'同比基准(2025年7月)'!$A:$A,0))))</f>
        <v/>
      </c>
      <c r="F205" s="4" t="n">
        <v>0</v>
      </c>
      <c r="G205" s="5">
        <f>IF(COUNTIF('同比基准(2025年7月)'!$A:$A,A205)=0,"新增",IF(INDEX('同比基准(2025年7月)'!$C:$C,MATCH(A205,'同比基准(2025年7月)'!$A:$A,0))=0,"",(F205-INDEX('同比基准(2025年7月)'!$C:$C,MATCH(A205,'同比基准(2025年7月)'!$A:$A,0)))/INDEX('同比基准(2025年7月)'!$C:$C,MATCH(A205,'同比基准(2025年7月)'!$A:$A,0))))</f>
        <v/>
      </c>
    </row>
    <row r="206">
      <c r="A206" s="2" t="inlineStr">
        <is>
          <t>伯希和</t>
        </is>
      </c>
      <c r="B206" s="3" t="inlineStr">
        <is>
          <t>零售</t>
        </is>
      </c>
      <c r="C206" s="3" t="inlineStr">
        <is>
          <t>服装服饰</t>
        </is>
      </c>
      <c r="D206" s="4" t="n">
        <v>96347</v>
      </c>
      <c r="E206" s="5">
        <f>IF(COUNTIF('同比基准(2025年7月)'!$A:$A,A206)=0,"新增",IF(INDEX('同比基准(2025年7月)'!$B:$B,MATCH(A206,'同比基准(2025年7月)'!$A:$A,0))=0,"",(D206-INDEX('同比基准(2025年7月)'!$B:$B,MATCH(A206,'同比基准(2025年7月)'!$A:$A,0)))/INDEX('同比基准(2025年7月)'!$B:$B,MATCH(A206,'同比基准(2025年7月)'!$A:$A,0))))</f>
        <v/>
      </c>
      <c r="F206" s="4" t="n">
        <v>0</v>
      </c>
      <c r="G206" s="5">
        <f>IF(COUNTIF('同比基准(2025年7月)'!$A:$A,A206)=0,"新增",IF(INDEX('同比基准(2025年7月)'!$C:$C,MATCH(A206,'同比基准(2025年7月)'!$A:$A,0))=0,"",(F206-INDEX('同比基准(2025年7月)'!$C:$C,MATCH(A206,'同比基准(2025年7月)'!$A:$A,0)))/INDEX('同比基准(2025年7月)'!$C:$C,MATCH(A206,'同比基准(2025年7月)'!$A:$A,0))))</f>
        <v/>
      </c>
    </row>
    <row r="207">
      <c r="A207" s="2" t="inlineStr">
        <is>
          <t>Apple Car</t>
        </is>
      </c>
      <c r="B207" s="3" t="inlineStr">
        <is>
          <t>服务</t>
        </is>
      </c>
      <c r="C207" s="3" t="inlineStr">
        <is>
          <t>配套设施</t>
        </is>
      </c>
      <c r="D207" s="4" t="n">
        <v>91102</v>
      </c>
      <c r="E207" s="5">
        <f>IF(COUNTIF('同比基准(2025年7月)'!$A:$A,A207)=0,"新增",IF(INDEX('同比基准(2025年7月)'!$B:$B,MATCH(A207,'同比基准(2025年7月)'!$A:$A,0))=0,"",(D207-INDEX('同比基准(2025年7月)'!$B:$B,MATCH(A207,'同比基准(2025年7月)'!$A:$A,0)))/INDEX('同比基准(2025年7月)'!$B:$B,MATCH(A207,'同比基准(2025年7月)'!$A:$A,0))))</f>
        <v/>
      </c>
      <c r="F207" s="4" t="n">
        <v>0</v>
      </c>
      <c r="G207" s="5">
        <f>IF(COUNTIF('同比基准(2025年7月)'!$A:$A,A207)=0,"新增",IF(INDEX('同比基准(2025年7月)'!$C:$C,MATCH(A207,'同比基准(2025年7月)'!$A:$A,0))=0,"",(F207-INDEX('同比基准(2025年7月)'!$C:$C,MATCH(A207,'同比基准(2025年7月)'!$A:$A,0)))/INDEX('同比基准(2025年7月)'!$C:$C,MATCH(A207,'同比基准(2025年7月)'!$A:$A,0))))</f>
        <v/>
      </c>
    </row>
    <row r="208">
      <c r="A208" s="2" t="inlineStr">
        <is>
          <t>吴良材</t>
        </is>
      </c>
      <c r="B208" s="3" t="inlineStr">
        <is>
          <t>零售</t>
        </is>
      </c>
      <c r="C208" s="3" t="inlineStr">
        <is>
          <t>服装服饰</t>
        </is>
      </c>
      <c r="D208" s="4" t="n">
        <v>88504.10000000001</v>
      </c>
      <c r="E208" s="5">
        <f>IF(COUNTIF('同比基准(2025年7月)'!$A:$A,A208)=0,"新增",IF(INDEX('同比基准(2025年7月)'!$B:$B,MATCH(A208,'同比基准(2025年7月)'!$A:$A,0))=0,"",(D208-INDEX('同比基准(2025年7月)'!$B:$B,MATCH(A208,'同比基准(2025年7月)'!$A:$A,0)))/INDEX('同比基准(2025年7月)'!$B:$B,MATCH(A208,'同比基准(2025年7月)'!$A:$A,0))))</f>
        <v/>
      </c>
      <c r="F208" s="4" t="n">
        <v>0</v>
      </c>
      <c r="G208" s="5">
        <f>IF(COUNTIF('同比基准(2025年7月)'!$A:$A,A208)=0,"新增",IF(INDEX('同比基准(2025年7月)'!$C:$C,MATCH(A208,'同比基准(2025年7月)'!$A:$A,0))=0,"",(F208-INDEX('同比基准(2025年7月)'!$C:$C,MATCH(A208,'同比基准(2025年7月)'!$A:$A,0)))/INDEX('同比基准(2025年7月)'!$C:$C,MATCH(A208,'同比基准(2025年7月)'!$A:$A,0))))</f>
        <v/>
      </c>
    </row>
    <row r="209">
      <c r="A209" s="2" t="inlineStr">
        <is>
          <t>VQ</t>
        </is>
      </c>
      <c r="B209" s="3" t="inlineStr">
        <is>
          <t>餐饮</t>
        </is>
      </c>
      <c r="C209" s="3" t="inlineStr">
        <is>
          <t>休闲餐饮</t>
        </is>
      </c>
      <c r="D209" s="4" t="n">
        <v>85268.95</v>
      </c>
      <c r="E209" s="5">
        <f>IF(COUNTIF('同比基准(2025年7月)'!$A:$A,A209)=0,"新增",IF(INDEX('同比基准(2025年7月)'!$B:$B,MATCH(A209,'同比基准(2025年7月)'!$A:$A,0))=0,"",(D209-INDEX('同比基准(2025年7月)'!$B:$B,MATCH(A209,'同比基准(2025年7月)'!$A:$A,0)))/INDEX('同比基准(2025年7月)'!$B:$B,MATCH(A209,'同比基准(2025年7月)'!$A:$A,0))))</f>
        <v/>
      </c>
      <c r="F209" s="4" t="n">
        <v>0</v>
      </c>
      <c r="G209" s="5">
        <f>IF(COUNTIF('同比基准(2025年7月)'!$A:$A,A209)=0,"新增",IF(INDEX('同比基准(2025年7月)'!$C:$C,MATCH(A209,'同比基准(2025年7月)'!$A:$A,0))=0,"",(F209-INDEX('同比基准(2025年7月)'!$C:$C,MATCH(A209,'同比基准(2025年7月)'!$A:$A,0)))/INDEX('同比基准(2025年7月)'!$C:$C,MATCH(A209,'同比基准(2025年7月)'!$A:$A,0))))</f>
        <v/>
      </c>
    </row>
    <row r="210">
      <c r="A210" s="2" t="inlineStr">
        <is>
          <t>木九十</t>
        </is>
      </c>
      <c r="B210" s="3" t="inlineStr">
        <is>
          <t>零售</t>
        </is>
      </c>
      <c r="C210" s="3" t="inlineStr">
        <is>
          <t>服装服饰</t>
        </is>
      </c>
      <c r="D210" s="4" t="n">
        <v>82286</v>
      </c>
      <c r="E210" s="5">
        <f>IF(COUNTIF('同比基准(2025年7月)'!$A:$A,A210)=0,"新增",IF(INDEX('同比基准(2025年7月)'!$B:$B,MATCH(A210,'同比基准(2025年7月)'!$A:$A,0))=0,"",(D210-INDEX('同比基准(2025年7月)'!$B:$B,MATCH(A210,'同比基准(2025年7月)'!$A:$A,0)))/INDEX('同比基准(2025年7月)'!$B:$B,MATCH(A210,'同比基准(2025年7月)'!$A:$A,0))))</f>
        <v/>
      </c>
      <c r="F210" s="4" t="n">
        <v>0</v>
      </c>
      <c r="G210" s="5">
        <f>IF(COUNTIF('同比基准(2025年7月)'!$A:$A,A210)=0,"新增",IF(INDEX('同比基准(2025年7月)'!$C:$C,MATCH(A210,'同比基准(2025年7月)'!$A:$A,0))=0,"",(F210-INDEX('同比基准(2025年7月)'!$C:$C,MATCH(A210,'同比基准(2025年7月)'!$A:$A,0)))/INDEX('同比基准(2025年7月)'!$C:$C,MATCH(A210,'同比基准(2025年7月)'!$A:$A,0))))</f>
        <v/>
      </c>
    </row>
    <row r="211">
      <c r="A211" s="2" t="inlineStr">
        <is>
          <t>牵绳记</t>
        </is>
      </c>
      <c r="B211" s="3" t="inlineStr">
        <is>
          <t>零售</t>
        </is>
      </c>
      <c r="C211" s="3" t="inlineStr">
        <is>
          <t>钟表/珠宝/高端笔/精品</t>
        </is>
      </c>
      <c r="D211" s="4" t="n">
        <v>81388</v>
      </c>
      <c r="E211" s="5">
        <f>IF(COUNTIF('同比基准(2025年7月)'!$A:$A,A211)=0,"新增",IF(INDEX('同比基准(2025年7月)'!$B:$B,MATCH(A211,'同比基准(2025年7月)'!$A:$A,0))=0,"",(D211-INDEX('同比基准(2025年7月)'!$B:$B,MATCH(A211,'同比基准(2025年7月)'!$A:$A,0)))/INDEX('同比基准(2025年7月)'!$B:$B,MATCH(A211,'同比基准(2025年7月)'!$A:$A,0))))</f>
        <v/>
      </c>
      <c r="F211" s="4" t="n">
        <v>0</v>
      </c>
      <c r="G211" s="5">
        <f>IF(COUNTIF('同比基准(2025年7月)'!$A:$A,A211)=0,"新增",IF(INDEX('同比基准(2025年7月)'!$C:$C,MATCH(A211,'同比基准(2025年7月)'!$A:$A,0))=0,"",(F211-INDEX('同比基准(2025年7月)'!$C:$C,MATCH(A211,'同比基准(2025年7月)'!$A:$A,0)))/INDEX('同比基准(2025年7月)'!$C:$C,MATCH(A211,'同比基准(2025年7月)'!$A:$A,0))))</f>
        <v/>
      </c>
    </row>
    <row r="212">
      <c r="A212" s="2" t="inlineStr">
        <is>
          <t>Calvin Klein</t>
        </is>
      </c>
      <c r="B212" s="3" t="inlineStr">
        <is>
          <t>零售</t>
        </is>
      </c>
      <c r="C212" s="3" t="inlineStr">
        <is>
          <t>服装服饰</t>
        </is>
      </c>
      <c r="D212" s="4" t="n">
        <v>80609.39999999999</v>
      </c>
      <c r="E212" s="5">
        <f>IF(COUNTIF('同比基准(2025年7月)'!$A:$A,A212)=0,"新增",IF(INDEX('同比基准(2025年7月)'!$B:$B,MATCH(A212,'同比基准(2025年7月)'!$A:$A,0))=0,"",(D212-INDEX('同比基准(2025年7月)'!$B:$B,MATCH(A212,'同比基准(2025年7月)'!$A:$A,0)))/INDEX('同比基准(2025年7月)'!$B:$B,MATCH(A212,'同比基准(2025年7月)'!$A:$A,0))))</f>
        <v/>
      </c>
      <c r="F212" s="4" t="n">
        <v>9310.389999999999</v>
      </c>
      <c r="G212" s="5">
        <f>IF(COUNTIF('同比基准(2025年7月)'!$A:$A,A212)=0,"新增",IF(INDEX('同比基准(2025年7月)'!$C:$C,MATCH(A212,'同比基准(2025年7月)'!$A:$A,0))=0,"",(F212-INDEX('同比基准(2025年7月)'!$C:$C,MATCH(A212,'同比基准(2025年7月)'!$A:$A,0)))/INDEX('同比基准(2025年7月)'!$C:$C,MATCH(A212,'同比基准(2025年7月)'!$A:$A,0))))</f>
        <v/>
      </c>
    </row>
    <row r="213">
      <c r="A213" s="2" t="inlineStr">
        <is>
          <t>作业帮</t>
        </is>
      </c>
      <c r="B213" s="3" t="inlineStr">
        <is>
          <t>零售</t>
        </is>
      </c>
      <c r="C213" s="3" t="inlineStr">
        <is>
          <t>儿童用品</t>
        </is>
      </c>
      <c r="D213" s="4" t="n">
        <v>78183</v>
      </c>
      <c r="E213" s="5">
        <f>IF(COUNTIF('同比基准(2025年7月)'!$A:$A,A213)=0,"新增",IF(INDEX('同比基准(2025年7月)'!$B:$B,MATCH(A213,'同比基准(2025年7月)'!$A:$A,0))=0,"",(D213-INDEX('同比基准(2025年7月)'!$B:$B,MATCH(A213,'同比基准(2025年7月)'!$A:$A,0)))/INDEX('同比基准(2025年7月)'!$B:$B,MATCH(A213,'同比基准(2025年7月)'!$A:$A,0))))</f>
        <v/>
      </c>
      <c r="F213" s="4" t="n">
        <v>0</v>
      </c>
      <c r="G213" s="5">
        <f>IF(COUNTIF('同比基准(2025年7月)'!$A:$A,A213)=0,"新增",IF(INDEX('同比基准(2025年7月)'!$C:$C,MATCH(A213,'同比基准(2025年7月)'!$A:$A,0))=0,"",(F213-INDEX('同比基准(2025年7月)'!$C:$C,MATCH(A213,'同比基准(2025年7月)'!$A:$A,0)))/INDEX('同比基准(2025年7月)'!$C:$C,MATCH(A213,'同比基准(2025年7月)'!$A:$A,0))))</f>
        <v/>
      </c>
    </row>
    <row r="214">
      <c r="A214" s="2" t="inlineStr">
        <is>
          <t>匡朵</t>
        </is>
      </c>
      <c r="B214" s="3" t="inlineStr">
        <is>
          <t>餐饮</t>
        </is>
      </c>
      <c r="C214" s="3" t="inlineStr">
        <is>
          <t>休闲餐饮</t>
        </is>
      </c>
      <c r="D214" s="4" t="n">
        <v>77520.71000000001</v>
      </c>
      <c r="E214" s="5">
        <f>IF(COUNTIF('同比基准(2025年7月)'!$A:$A,A214)=0,"新增",IF(INDEX('同比基准(2025年7月)'!$B:$B,MATCH(A214,'同比基准(2025年7月)'!$A:$A,0))=0,"",(D214-INDEX('同比基准(2025年7月)'!$B:$B,MATCH(A214,'同比基准(2025年7月)'!$A:$A,0)))/INDEX('同比基准(2025年7月)'!$B:$B,MATCH(A214,'同比基准(2025年7月)'!$A:$A,0))))</f>
        <v/>
      </c>
      <c r="F214" s="4" t="n">
        <v>0</v>
      </c>
      <c r="G214" s="5">
        <f>IF(COUNTIF('同比基准(2025年7月)'!$A:$A,A214)=0,"新增",IF(INDEX('同比基准(2025年7月)'!$C:$C,MATCH(A214,'同比基准(2025年7月)'!$A:$A,0))=0,"",(F214-INDEX('同比基准(2025年7月)'!$C:$C,MATCH(A214,'同比基准(2025年7月)'!$A:$A,0)))/INDEX('同比基准(2025年7月)'!$C:$C,MATCH(A214,'同比基准(2025年7月)'!$A:$A,0))))</f>
        <v/>
      </c>
    </row>
    <row r="215">
      <c r="A215" s="2" t="inlineStr">
        <is>
          <t>安莉芳</t>
        </is>
      </c>
      <c r="B215" s="3" t="inlineStr">
        <is>
          <t>零售</t>
        </is>
      </c>
      <c r="C215" s="3" t="inlineStr">
        <is>
          <t>服装服饰</t>
        </is>
      </c>
      <c r="D215" s="4" t="n">
        <v>76879</v>
      </c>
      <c r="E215" s="5">
        <f>IF(COUNTIF('同比基准(2025年7月)'!$A:$A,A215)=0,"新增",IF(INDEX('同比基准(2025年7月)'!$B:$B,MATCH(A215,'同比基准(2025年7月)'!$A:$A,0))=0,"",(D215-INDEX('同比基准(2025年7月)'!$B:$B,MATCH(A215,'同比基准(2025年7月)'!$A:$A,0)))/INDEX('同比基准(2025年7月)'!$B:$B,MATCH(A215,'同比基准(2025年7月)'!$A:$A,0))))</f>
        <v/>
      </c>
      <c r="F215" s="4" t="n">
        <v>0</v>
      </c>
      <c r="G215" s="5">
        <f>IF(COUNTIF('同比基准(2025年7月)'!$A:$A,A215)=0,"新增",IF(INDEX('同比基准(2025年7月)'!$C:$C,MATCH(A215,'同比基准(2025年7月)'!$A:$A,0))=0,"",(F215-INDEX('同比基准(2025年7月)'!$C:$C,MATCH(A215,'同比基准(2025年7月)'!$A:$A,0)))/INDEX('同比基准(2025年7月)'!$C:$C,MATCH(A215,'同比基准(2025年7月)'!$A:$A,0))))</f>
        <v/>
      </c>
    </row>
    <row r="216">
      <c r="A216" s="2" t="inlineStr">
        <is>
          <t>宫廷铭匠</t>
        </is>
      </c>
      <c r="B216" s="3" t="inlineStr">
        <is>
          <t>零售</t>
        </is>
      </c>
      <c r="C216" s="3" t="inlineStr">
        <is>
          <t>钟表/珠宝/高端笔/精品</t>
        </is>
      </c>
      <c r="D216" s="4" t="n">
        <v>75385</v>
      </c>
      <c r="E216" s="5">
        <f>IF(COUNTIF('同比基准(2025年7月)'!$A:$A,A216)=0,"新增",IF(INDEX('同比基准(2025年7月)'!$B:$B,MATCH(A216,'同比基准(2025年7月)'!$A:$A,0))=0,"",(D216-INDEX('同比基准(2025年7月)'!$B:$B,MATCH(A216,'同比基准(2025年7月)'!$A:$A,0)))/INDEX('同比基准(2025年7月)'!$B:$B,MATCH(A216,'同比基准(2025年7月)'!$A:$A,0))))</f>
        <v/>
      </c>
      <c r="F216" s="4" t="n">
        <v>0</v>
      </c>
      <c r="G216" s="5">
        <f>IF(COUNTIF('同比基准(2025年7月)'!$A:$A,A216)=0,"新增",IF(INDEX('同比基准(2025年7月)'!$C:$C,MATCH(A216,'同比基准(2025年7月)'!$A:$A,0))=0,"",(F216-INDEX('同比基准(2025年7月)'!$C:$C,MATCH(A216,'同比基准(2025年7月)'!$A:$A,0)))/INDEX('同比基准(2025年7月)'!$C:$C,MATCH(A216,'同比基准(2025年7月)'!$A:$A,0))))</f>
        <v/>
      </c>
    </row>
    <row r="217">
      <c r="A217" s="2" t="inlineStr">
        <is>
          <t>优品客</t>
        </is>
      </c>
      <c r="B217" s="3" t="inlineStr">
        <is>
          <t>零售</t>
        </is>
      </c>
      <c r="C217" s="3" t="inlineStr">
        <is>
          <t>数码电器</t>
        </is>
      </c>
      <c r="D217" s="4" t="n">
        <v>75313</v>
      </c>
      <c r="E217" s="5">
        <f>IF(COUNTIF('同比基准(2025年7月)'!$A:$A,A217)=0,"新增",IF(INDEX('同比基准(2025年7月)'!$B:$B,MATCH(A217,'同比基准(2025年7月)'!$A:$A,0))=0,"",(D217-INDEX('同比基准(2025年7月)'!$B:$B,MATCH(A217,'同比基准(2025年7月)'!$A:$A,0)))/INDEX('同比基准(2025年7月)'!$B:$B,MATCH(A217,'同比基准(2025年7月)'!$A:$A,0))))</f>
        <v/>
      </c>
      <c r="F217" s="4" t="n">
        <v>0</v>
      </c>
      <c r="G217" s="5">
        <f>IF(COUNTIF('同比基准(2025年7月)'!$A:$A,A217)=0,"新增",IF(INDEX('同比基准(2025年7月)'!$C:$C,MATCH(A217,'同比基准(2025年7月)'!$A:$A,0))=0,"",(F217-INDEX('同比基准(2025年7月)'!$C:$C,MATCH(A217,'同比基准(2025年7月)'!$A:$A,0)))/INDEX('同比基准(2025年7月)'!$C:$C,MATCH(A217,'同比基准(2025年7月)'!$A:$A,0))))</f>
        <v/>
      </c>
    </row>
    <row r="218">
      <c r="A218" s="2" t="inlineStr">
        <is>
          <t>亲宝宝</t>
        </is>
      </c>
      <c r="B218" s="3" t="inlineStr">
        <is>
          <t>零售</t>
        </is>
      </c>
      <c r="C218" s="3" t="inlineStr">
        <is>
          <t>儿童用品</t>
        </is>
      </c>
      <c r="D218" s="4" t="n">
        <v>74876.13</v>
      </c>
      <c r="E218" s="5">
        <f>IF(COUNTIF('同比基准(2025年7月)'!$A:$A,A218)=0,"新增",IF(INDEX('同比基准(2025年7月)'!$B:$B,MATCH(A218,'同比基准(2025年7月)'!$A:$A,0))=0,"",(D218-INDEX('同比基准(2025年7月)'!$B:$B,MATCH(A218,'同比基准(2025年7月)'!$A:$A,0)))/INDEX('同比基准(2025年7月)'!$B:$B,MATCH(A218,'同比基准(2025年7月)'!$A:$A,0))))</f>
        <v/>
      </c>
      <c r="F218" s="4" t="n">
        <v>0</v>
      </c>
      <c r="G218" s="5">
        <f>IF(COUNTIF('同比基准(2025年7月)'!$A:$A,A218)=0,"新增",IF(INDEX('同比基准(2025年7月)'!$C:$C,MATCH(A218,'同比基准(2025年7月)'!$A:$A,0))=0,"",(F218-INDEX('同比基准(2025年7月)'!$C:$C,MATCH(A218,'同比基准(2025年7月)'!$A:$A,0)))/INDEX('同比基准(2025年7月)'!$C:$C,MATCH(A218,'同比基准(2025年7月)'!$A:$A,0))))</f>
        <v/>
      </c>
    </row>
    <row r="219">
      <c r="A219" s="2" t="inlineStr">
        <is>
          <t>特步</t>
        </is>
      </c>
      <c r="B219" s="3" t="inlineStr">
        <is>
          <t>零售</t>
        </is>
      </c>
      <c r="C219" s="3" t="inlineStr">
        <is>
          <t>服装服饰</t>
        </is>
      </c>
      <c r="D219" s="4" t="n">
        <v>74545.5</v>
      </c>
      <c r="E219" s="5">
        <f>IF(COUNTIF('同比基准(2025年7月)'!$A:$A,A219)=0,"新增",IF(INDEX('同比基准(2025年7月)'!$B:$B,MATCH(A219,'同比基准(2025年7月)'!$A:$A,0))=0,"",(D219-INDEX('同比基准(2025年7月)'!$B:$B,MATCH(A219,'同比基准(2025年7月)'!$A:$A,0)))/INDEX('同比基准(2025年7月)'!$B:$B,MATCH(A219,'同比基准(2025年7月)'!$A:$A,0))))</f>
        <v/>
      </c>
      <c r="F219" s="4" t="n">
        <v>0</v>
      </c>
      <c r="G219" s="5">
        <f>IF(COUNTIF('同比基准(2025年7月)'!$A:$A,A219)=0,"新增",IF(INDEX('同比基准(2025年7月)'!$C:$C,MATCH(A219,'同比基准(2025年7月)'!$A:$A,0))=0,"",(F219-INDEX('同比基准(2025年7月)'!$C:$C,MATCH(A219,'同比基准(2025年7月)'!$A:$A,0)))/INDEX('同比基准(2025年7月)'!$C:$C,MATCH(A219,'同比基准(2025年7月)'!$A:$A,0))))</f>
        <v/>
      </c>
    </row>
    <row r="220">
      <c r="A220" s="2" t="inlineStr">
        <is>
          <t>ASICS KIDS</t>
        </is>
      </c>
      <c r="B220" s="3" t="inlineStr">
        <is>
          <t>零售</t>
        </is>
      </c>
      <c r="C220" s="3" t="inlineStr">
        <is>
          <t>儿童用品</t>
        </is>
      </c>
      <c r="D220" s="4" t="n">
        <v>72888</v>
      </c>
      <c r="E220" s="5">
        <f>IF(COUNTIF('同比基准(2025年7月)'!$A:$A,A220)=0,"新增",IF(INDEX('同比基准(2025年7月)'!$B:$B,MATCH(A220,'同比基准(2025年7月)'!$A:$A,0))=0,"",(D220-INDEX('同比基准(2025年7月)'!$B:$B,MATCH(A220,'同比基准(2025年7月)'!$A:$A,0)))/INDEX('同比基准(2025年7月)'!$B:$B,MATCH(A220,'同比基准(2025年7月)'!$A:$A,0))))</f>
        <v/>
      </c>
      <c r="F220" s="4" t="n">
        <v>0</v>
      </c>
      <c r="G220" s="5">
        <f>IF(COUNTIF('同比基准(2025年7月)'!$A:$A,A220)=0,"新增",IF(INDEX('同比基准(2025年7月)'!$C:$C,MATCH(A220,'同比基准(2025年7月)'!$A:$A,0))=0,"",(F220-INDEX('同比基准(2025年7月)'!$C:$C,MATCH(A220,'同比基准(2025年7月)'!$A:$A,0)))/INDEX('同比基准(2025年7月)'!$C:$C,MATCH(A220,'同比基准(2025年7月)'!$A:$A,0))))</f>
        <v/>
      </c>
    </row>
    <row r="221">
      <c r="A221" s="2" t="inlineStr">
        <is>
          <t>淘气妙</t>
        </is>
      </c>
      <c r="B221" s="3" t="inlineStr">
        <is>
          <t>娱乐</t>
        </is>
      </c>
      <c r="C221" s="3" t="inlineStr">
        <is>
          <t>儿童娱乐</t>
        </is>
      </c>
      <c r="D221" s="4" t="n">
        <v>72473</v>
      </c>
      <c r="E221" s="5">
        <f>IF(COUNTIF('同比基准(2025年7月)'!$A:$A,A221)=0,"新增",IF(INDEX('同比基准(2025年7月)'!$B:$B,MATCH(A221,'同比基准(2025年7月)'!$A:$A,0))=0,"",(D221-INDEX('同比基准(2025年7月)'!$B:$B,MATCH(A221,'同比基准(2025年7月)'!$A:$A,0)))/INDEX('同比基准(2025年7月)'!$B:$B,MATCH(A221,'同比基准(2025年7月)'!$A:$A,0))))</f>
        <v/>
      </c>
      <c r="F221" s="4" t="n">
        <v>0</v>
      </c>
      <c r="G221" s="5">
        <f>IF(COUNTIF('同比基准(2025年7月)'!$A:$A,A221)=0,"新增",IF(INDEX('同比基准(2025年7月)'!$C:$C,MATCH(A221,'同比基准(2025年7月)'!$A:$A,0))=0,"",(F221-INDEX('同比基准(2025年7月)'!$C:$C,MATCH(A221,'同比基准(2025年7月)'!$A:$A,0)))/INDEX('同比基准(2025年7月)'!$C:$C,MATCH(A221,'同比基准(2025年7月)'!$A:$A,0))))</f>
        <v/>
      </c>
    </row>
    <row r="222">
      <c r="A222" s="2" t="inlineStr">
        <is>
          <t>曼都</t>
        </is>
      </c>
      <c r="B222" s="3" t="inlineStr">
        <is>
          <t>服务</t>
        </is>
      </c>
      <c r="C222" s="3" t="inlineStr">
        <is>
          <t>美容美体保健</t>
        </is>
      </c>
      <c r="D222" s="4" t="n">
        <v>70361.09</v>
      </c>
      <c r="E222" s="5">
        <f>IF(COUNTIF('同比基准(2025年7月)'!$A:$A,A222)=0,"新增",IF(INDEX('同比基准(2025年7月)'!$B:$B,MATCH(A222,'同比基准(2025年7月)'!$A:$A,0))=0,"",(D222-INDEX('同比基准(2025年7月)'!$B:$B,MATCH(A222,'同比基准(2025年7月)'!$A:$A,0)))/INDEX('同比基准(2025年7月)'!$B:$B,MATCH(A222,'同比基准(2025年7月)'!$A:$A,0))))</f>
        <v/>
      </c>
      <c r="F222" s="4" t="n">
        <v>0</v>
      </c>
      <c r="G222" s="5">
        <f>IF(COUNTIF('同比基准(2025年7月)'!$A:$A,A222)=0,"新增",IF(INDEX('同比基准(2025年7月)'!$C:$C,MATCH(A222,'同比基准(2025年7月)'!$A:$A,0))=0,"",(F222-INDEX('同比基准(2025年7月)'!$C:$C,MATCH(A222,'同比基准(2025年7月)'!$A:$A,0)))/INDEX('同比基准(2025年7月)'!$C:$C,MATCH(A222,'同比基准(2025年7月)'!$A:$A,0))))</f>
        <v/>
      </c>
    </row>
    <row r="223">
      <c r="A223" s="2" t="inlineStr">
        <is>
          <t>恋仁怪兽</t>
        </is>
      </c>
      <c r="B223" s="3" t="inlineStr">
        <is>
          <t>餐饮</t>
        </is>
      </c>
      <c r="C223" s="3" t="inlineStr">
        <is>
          <t>休闲餐饮</t>
        </is>
      </c>
      <c r="D223" s="4" t="n">
        <v>69829.46000000001</v>
      </c>
      <c r="E223" s="5">
        <f>IF(COUNTIF('同比基准(2025年7月)'!$A:$A,A223)=0,"新增",IF(INDEX('同比基准(2025年7月)'!$B:$B,MATCH(A223,'同比基准(2025年7月)'!$A:$A,0))=0,"",(D223-INDEX('同比基准(2025年7月)'!$B:$B,MATCH(A223,'同比基准(2025年7月)'!$A:$A,0)))/INDEX('同比基准(2025年7月)'!$B:$B,MATCH(A223,'同比基准(2025年7月)'!$A:$A,0))))</f>
        <v/>
      </c>
      <c r="F223" s="4" t="n">
        <v>0</v>
      </c>
      <c r="G223" s="5">
        <f>IF(COUNTIF('同比基准(2025年7月)'!$A:$A,A223)=0,"新增",IF(INDEX('同比基准(2025年7月)'!$C:$C,MATCH(A223,'同比基准(2025年7月)'!$A:$A,0))=0,"",(F223-INDEX('同比基准(2025年7月)'!$C:$C,MATCH(A223,'同比基准(2025年7月)'!$A:$A,0)))/INDEX('同比基准(2025年7月)'!$C:$C,MATCH(A223,'同比基准(2025年7月)'!$A:$A,0))))</f>
        <v/>
      </c>
    </row>
    <row r="224">
      <c r="A224" s="2" t="inlineStr">
        <is>
          <t>Mini Peace</t>
        </is>
      </c>
      <c r="B224" s="3" t="inlineStr">
        <is>
          <t>零售</t>
        </is>
      </c>
      <c r="C224" s="3" t="inlineStr">
        <is>
          <t>儿童用品</t>
        </is>
      </c>
      <c r="D224" s="4" t="n">
        <v>68743.39999999999</v>
      </c>
      <c r="E224" s="5">
        <f>IF(COUNTIF('同比基准(2025年7月)'!$A:$A,A224)=0,"新增",IF(INDEX('同比基准(2025年7月)'!$B:$B,MATCH(A224,'同比基准(2025年7月)'!$A:$A,0))=0,"",(D224-INDEX('同比基准(2025年7月)'!$B:$B,MATCH(A224,'同比基准(2025年7月)'!$A:$A,0)))/INDEX('同比基准(2025年7月)'!$B:$B,MATCH(A224,'同比基准(2025年7月)'!$A:$A,0))))</f>
        <v/>
      </c>
      <c r="F224" s="4" t="n">
        <v>0</v>
      </c>
      <c r="G224" s="5">
        <f>IF(COUNTIF('同比基准(2025年7月)'!$A:$A,A224)=0,"新增",IF(INDEX('同比基准(2025年7月)'!$C:$C,MATCH(A224,'同比基准(2025年7月)'!$A:$A,0))=0,"",(F224-INDEX('同比基准(2025年7月)'!$C:$C,MATCH(A224,'同比基准(2025年7月)'!$A:$A,0)))/INDEX('同比基准(2025年7月)'!$C:$C,MATCH(A224,'同比基准(2025年7月)'!$A:$A,0))))</f>
        <v/>
      </c>
    </row>
    <row r="225">
      <c r="A225" s="2" t="inlineStr">
        <is>
          <t>谭木匠</t>
        </is>
      </c>
      <c r="B225" s="3" t="inlineStr">
        <is>
          <t>零售</t>
        </is>
      </c>
      <c r="C225" s="3" t="inlineStr">
        <is>
          <t>其他配套零售</t>
        </is>
      </c>
      <c r="D225" s="4" t="n">
        <v>67997</v>
      </c>
      <c r="E225" s="5">
        <f>IF(COUNTIF('同比基准(2025年7月)'!$A:$A,A225)=0,"新增",IF(INDEX('同比基准(2025年7月)'!$B:$B,MATCH(A225,'同比基准(2025年7月)'!$A:$A,0))=0,"",(D225-INDEX('同比基准(2025年7月)'!$B:$B,MATCH(A225,'同比基准(2025年7月)'!$A:$A,0)))/INDEX('同比基准(2025年7月)'!$B:$B,MATCH(A225,'同比基准(2025年7月)'!$A:$A,0))))</f>
        <v/>
      </c>
      <c r="F225" s="4" t="n">
        <v>0</v>
      </c>
      <c r="G225" s="5">
        <f>IF(COUNTIF('同比基准(2025年7月)'!$A:$A,A225)=0,"新增",IF(INDEX('同比基准(2025年7月)'!$C:$C,MATCH(A225,'同比基准(2025年7月)'!$A:$A,0))=0,"",(F225-INDEX('同比基准(2025年7月)'!$C:$C,MATCH(A225,'同比基准(2025年7月)'!$A:$A,0)))/INDEX('同比基准(2025年7月)'!$C:$C,MATCH(A225,'同比基准(2025年7月)'!$A:$A,0))))</f>
        <v/>
      </c>
    </row>
    <row r="226">
      <c r="A226" s="2" t="inlineStr">
        <is>
          <t>茉沏</t>
        </is>
      </c>
      <c r="B226" s="3" t="inlineStr">
        <is>
          <t>餐饮</t>
        </is>
      </c>
      <c r="C226" s="3" t="inlineStr">
        <is>
          <t>休闲餐饮</t>
        </is>
      </c>
      <c r="D226" s="4" t="n">
        <v>67674.06</v>
      </c>
      <c r="E226" s="5">
        <f>IF(COUNTIF('同比基准(2025年7月)'!$A:$A,A226)=0,"新增",IF(INDEX('同比基准(2025年7月)'!$B:$B,MATCH(A226,'同比基准(2025年7月)'!$A:$A,0))=0,"",(D226-INDEX('同比基准(2025年7月)'!$B:$B,MATCH(A226,'同比基准(2025年7月)'!$A:$A,0)))/INDEX('同比基准(2025年7月)'!$B:$B,MATCH(A226,'同比基准(2025年7月)'!$A:$A,0))))</f>
        <v/>
      </c>
      <c r="F226" s="4" t="n">
        <v>0</v>
      </c>
      <c r="G226" s="5">
        <f>IF(COUNTIF('同比基准(2025年7月)'!$A:$A,A226)=0,"新增",IF(INDEX('同比基准(2025年7月)'!$C:$C,MATCH(A226,'同比基准(2025年7月)'!$A:$A,0))=0,"",(F226-INDEX('同比基准(2025年7月)'!$C:$C,MATCH(A226,'同比基准(2025年7月)'!$A:$A,0)))/INDEX('同比基准(2025年7月)'!$C:$C,MATCH(A226,'同比基准(2025年7月)'!$A:$A,0))))</f>
        <v/>
      </c>
    </row>
    <row r="227">
      <c r="A227" s="2" t="inlineStr">
        <is>
          <t>探拓</t>
        </is>
      </c>
      <c r="B227" s="3" t="inlineStr">
        <is>
          <t>零售</t>
        </is>
      </c>
      <c r="C227" s="3" t="inlineStr">
        <is>
          <t>服装服饰</t>
        </is>
      </c>
      <c r="D227" s="4" t="n">
        <v>60753</v>
      </c>
      <c r="E227" s="5">
        <f>IF(COUNTIF('同比基准(2025年7月)'!$A:$A,A227)=0,"新增",IF(INDEX('同比基准(2025年7月)'!$B:$B,MATCH(A227,'同比基准(2025年7月)'!$A:$A,0))=0,"",(D227-INDEX('同比基准(2025年7月)'!$B:$B,MATCH(A227,'同比基准(2025年7月)'!$A:$A,0)))/INDEX('同比基准(2025年7月)'!$B:$B,MATCH(A227,'同比基准(2025年7月)'!$A:$A,0))))</f>
        <v/>
      </c>
      <c r="F227" s="4" t="n">
        <v>0</v>
      </c>
      <c r="G227" s="5">
        <f>IF(COUNTIF('同比基准(2025年7月)'!$A:$A,A227)=0,"新增",IF(INDEX('同比基准(2025年7月)'!$C:$C,MATCH(A227,'同比基准(2025年7月)'!$A:$A,0))=0,"",(F227-INDEX('同比基准(2025年7月)'!$C:$C,MATCH(A227,'同比基准(2025年7月)'!$A:$A,0)))/INDEX('同比基准(2025年7月)'!$C:$C,MATCH(A227,'同比基准(2025年7月)'!$A:$A,0))))</f>
        <v/>
      </c>
    </row>
    <row r="228">
      <c r="A228" s="2" t="inlineStr">
        <is>
          <t>追觅</t>
        </is>
      </c>
      <c r="B228" s="3" t="inlineStr">
        <is>
          <t>零售</t>
        </is>
      </c>
      <c r="C228" s="3" t="inlineStr">
        <is>
          <t>数码电器</t>
        </is>
      </c>
      <c r="D228" s="4" t="n">
        <v>55020</v>
      </c>
      <c r="E228" s="5">
        <f>IF(COUNTIF('同比基准(2025年7月)'!$A:$A,A228)=0,"新增",IF(INDEX('同比基准(2025年7月)'!$B:$B,MATCH(A228,'同比基准(2025年7月)'!$A:$A,0))=0,"",(D228-INDEX('同比基准(2025年7月)'!$B:$B,MATCH(A228,'同比基准(2025年7月)'!$A:$A,0)))/INDEX('同比基准(2025年7月)'!$B:$B,MATCH(A228,'同比基准(2025年7月)'!$A:$A,0))))</f>
        <v/>
      </c>
      <c r="F228" s="4" t="n">
        <v>0</v>
      </c>
      <c r="G228" s="5">
        <f>IF(COUNTIF('同比基准(2025年7月)'!$A:$A,A228)=0,"新增",IF(INDEX('同比基准(2025年7月)'!$C:$C,MATCH(A228,'同比基准(2025年7月)'!$A:$A,0))=0,"",(F228-INDEX('同比基准(2025年7月)'!$C:$C,MATCH(A228,'同比基准(2025年7月)'!$A:$A,0)))/INDEX('同比基准(2025年7月)'!$C:$C,MATCH(A228,'同比基准(2025年7月)'!$A:$A,0))))</f>
        <v/>
      </c>
    </row>
    <row r="229">
      <c r="A229" s="2" t="inlineStr">
        <is>
          <t>PHOTOMI</t>
        </is>
      </c>
      <c r="B229" s="3" t="inlineStr">
        <is>
          <t>服务</t>
        </is>
      </c>
      <c r="C229" s="3" t="inlineStr">
        <is>
          <t>配套设施</t>
        </is>
      </c>
      <c r="D229" s="4" t="n">
        <v>54479</v>
      </c>
      <c r="E229" s="5">
        <f>IF(COUNTIF('同比基准(2025年7月)'!$A:$A,A229)=0,"新增",IF(INDEX('同比基准(2025年7月)'!$B:$B,MATCH(A229,'同比基准(2025年7月)'!$A:$A,0))=0,"",(D229-INDEX('同比基准(2025年7月)'!$B:$B,MATCH(A229,'同比基准(2025年7月)'!$A:$A,0)))/INDEX('同比基准(2025年7月)'!$B:$B,MATCH(A229,'同比基准(2025年7月)'!$A:$A,0))))</f>
        <v/>
      </c>
      <c r="F229" s="4" t="n">
        <v>0</v>
      </c>
      <c r="G229" s="5">
        <f>IF(COUNTIF('同比基准(2025年7月)'!$A:$A,A229)=0,"新增",IF(INDEX('同比基准(2025年7月)'!$C:$C,MATCH(A229,'同比基准(2025年7月)'!$A:$A,0))=0,"",(F229-INDEX('同比基准(2025年7月)'!$C:$C,MATCH(A229,'同比基准(2025年7月)'!$A:$A,0)))/INDEX('同比基准(2025年7月)'!$C:$C,MATCH(A229,'同比基准(2025年7月)'!$A:$A,0))))</f>
        <v/>
      </c>
    </row>
    <row r="230">
      <c r="A230" s="2" t="inlineStr">
        <is>
          <t>拾光星球</t>
        </is>
      </c>
      <c r="B230" s="3" t="inlineStr">
        <is>
          <t>娱乐</t>
        </is>
      </c>
      <c r="C230" s="3" t="inlineStr">
        <is>
          <t>儿童娱乐</t>
        </is>
      </c>
      <c r="D230" s="4" t="n">
        <v>53438.1</v>
      </c>
      <c r="E230" s="5">
        <f>IF(COUNTIF('同比基准(2025年7月)'!$A:$A,A230)=0,"新增",IF(INDEX('同比基准(2025年7月)'!$B:$B,MATCH(A230,'同比基准(2025年7月)'!$A:$A,0))=0,"",(D230-INDEX('同比基准(2025年7月)'!$B:$B,MATCH(A230,'同比基准(2025年7月)'!$A:$A,0)))/INDEX('同比基准(2025年7月)'!$B:$B,MATCH(A230,'同比基准(2025年7月)'!$A:$A,0))))</f>
        <v/>
      </c>
      <c r="F230" s="4" t="n">
        <v>0</v>
      </c>
      <c r="G230" s="5">
        <f>IF(COUNTIF('同比基准(2025年7月)'!$A:$A,A230)=0,"新增",IF(INDEX('同比基准(2025年7月)'!$C:$C,MATCH(A230,'同比基准(2025年7月)'!$A:$A,0))=0,"",(F230-INDEX('同比基准(2025年7月)'!$C:$C,MATCH(A230,'同比基准(2025年7月)'!$A:$A,0)))/INDEX('同比基准(2025年7月)'!$C:$C,MATCH(A230,'同比基准(2025年7月)'!$A:$A,0))))</f>
        <v/>
      </c>
    </row>
    <row r="231">
      <c r="A231" s="2" t="inlineStr">
        <is>
          <t>Skechers Kids</t>
        </is>
      </c>
      <c r="B231" s="3" t="inlineStr">
        <is>
          <t>零售</t>
        </is>
      </c>
      <c r="C231" s="3" t="inlineStr">
        <is>
          <t>儿童用品</t>
        </is>
      </c>
      <c r="D231" s="4" t="n">
        <v>52999.1</v>
      </c>
      <c r="E231" s="5">
        <f>IF(COUNTIF('同比基准(2025年7月)'!$A:$A,A231)=0,"新增",IF(INDEX('同比基准(2025年7月)'!$B:$B,MATCH(A231,'同比基准(2025年7月)'!$A:$A,0))=0,"",(D231-INDEX('同比基准(2025年7月)'!$B:$B,MATCH(A231,'同比基准(2025年7月)'!$A:$A,0)))/INDEX('同比基准(2025年7月)'!$B:$B,MATCH(A231,'同比基准(2025年7月)'!$A:$A,0))))</f>
        <v/>
      </c>
      <c r="F231" s="4" t="n">
        <v>0</v>
      </c>
      <c r="G231" s="5">
        <f>IF(COUNTIF('同比基准(2025年7月)'!$A:$A,A231)=0,"新增",IF(INDEX('同比基准(2025年7月)'!$C:$C,MATCH(A231,'同比基准(2025年7月)'!$A:$A,0))=0,"",(F231-INDEX('同比基准(2025年7月)'!$C:$C,MATCH(A231,'同比基准(2025年7月)'!$A:$A,0)))/INDEX('同比基准(2025年7月)'!$C:$C,MATCH(A231,'同比基准(2025年7月)'!$A:$A,0))))</f>
        <v/>
      </c>
    </row>
    <row r="232">
      <c r="A232" s="2" t="inlineStr">
        <is>
          <t>西塔星球</t>
        </is>
      </c>
      <c r="B232" s="3" t="inlineStr">
        <is>
          <t>零售</t>
        </is>
      </c>
      <c r="C232" s="3" t="inlineStr">
        <is>
          <t>包装食品</t>
        </is>
      </c>
      <c r="D232" s="4" t="n">
        <v>52657.9</v>
      </c>
      <c r="E232" s="5">
        <f>IF(COUNTIF('同比基准(2025年7月)'!$A:$A,A232)=0,"新增",IF(INDEX('同比基准(2025年7月)'!$B:$B,MATCH(A232,'同比基准(2025年7月)'!$A:$A,0))=0,"",(D232-INDEX('同比基准(2025年7月)'!$B:$B,MATCH(A232,'同比基准(2025年7月)'!$A:$A,0)))/INDEX('同比基准(2025年7月)'!$B:$B,MATCH(A232,'同比基准(2025年7月)'!$A:$A,0))))</f>
        <v/>
      </c>
      <c r="F232" s="4" t="n">
        <v>0</v>
      </c>
      <c r="G232" s="5">
        <f>IF(COUNTIF('同比基准(2025年7月)'!$A:$A,A232)=0,"新增",IF(INDEX('同比基准(2025年7月)'!$C:$C,MATCH(A232,'同比基准(2025年7月)'!$A:$A,0))=0,"",(F232-INDEX('同比基准(2025年7月)'!$C:$C,MATCH(A232,'同比基准(2025年7月)'!$A:$A,0)))/INDEX('同比基准(2025年7月)'!$C:$C,MATCH(A232,'同比基准(2025年7月)'!$A:$A,0))))</f>
        <v/>
      </c>
    </row>
    <row r="233">
      <c r="A233" s="2" t="inlineStr">
        <is>
          <t>Champion</t>
        </is>
      </c>
      <c r="B233" s="3" t="inlineStr">
        <is>
          <t>零售</t>
        </is>
      </c>
      <c r="C233" s="3" t="inlineStr">
        <is>
          <t>服装服饰</t>
        </is>
      </c>
      <c r="D233" s="4" t="n">
        <v>51336</v>
      </c>
      <c r="E233" s="5">
        <f>IF(COUNTIF('同比基准(2025年7月)'!$A:$A,A233)=0,"新增",IF(INDEX('同比基准(2025年7月)'!$B:$B,MATCH(A233,'同比基准(2025年7月)'!$A:$A,0))=0,"",(D233-INDEX('同比基准(2025年7月)'!$B:$B,MATCH(A233,'同比基准(2025年7月)'!$A:$A,0)))/INDEX('同比基准(2025年7月)'!$B:$B,MATCH(A233,'同比基准(2025年7月)'!$A:$A,0))))</f>
        <v/>
      </c>
      <c r="F233" s="4" t="n">
        <v>0</v>
      </c>
      <c r="G233" s="5">
        <f>IF(COUNTIF('同比基准(2025年7月)'!$A:$A,A233)=0,"新增",IF(INDEX('同比基准(2025年7月)'!$C:$C,MATCH(A233,'同比基准(2025年7月)'!$A:$A,0))=0,"",(F233-INDEX('同比基准(2025年7月)'!$C:$C,MATCH(A233,'同比基准(2025年7月)'!$A:$A,0)))/INDEX('同比基准(2025年7月)'!$C:$C,MATCH(A233,'同比基准(2025年7月)'!$A:$A,0))))</f>
        <v/>
      </c>
    </row>
    <row r="234">
      <c r="A234" s="2" t="inlineStr">
        <is>
          <t>奥特曼小火车</t>
        </is>
      </c>
      <c r="B234" s="3" t="inlineStr">
        <is>
          <t>娱乐</t>
        </is>
      </c>
      <c r="C234" s="3" t="inlineStr">
        <is>
          <t>儿童娱乐</t>
        </is>
      </c>
      <c r="D234" s="4" t="n">
        <v>49148</v>
      </c>
      <c r="E234" s="5">
        <f>IF(COUNTIF('同比基准(2025年7月)'!$A:$A,A234)=0,"新增",IF(INDEX('同比基准(2025年7月)'!$B:$B,MATCH(A234,'同比基准(2025年7月)'!$A:$A,0))=0,"",(D234-INDEX('同比基准(2025年7月)'!$B:$B,MATCH(A234,'同比基准(2025年7月)'!$A:$A,0)))/INDEX('同比基准(2025年7月)'!$B:$B,MATCH(A234,'同比基准(2025年7月)'!$A:$A,0))))</f>
        <v/>
      </c>
      <c r="F234" s="4" t="n">
        <v>0</v>
      </c>
      <c r="G234" s="5">
        <f>IF(COUNTIF('同比基准(2025年7月)'!$A:$A,A234)=0,"新增",IF(INDEX('同比基准(2025年7月)'!$C:$C,MATCH(A234,'同比基准(2025年7月)'!$A:$A,0))=0,"",(F234-INDEX('同比基准(2025年7月)'!$C:$C,MATCH(A234,'同比基准(2025年7月)'!$A:$A,0)))/INDEX('同比基准(2025年7月)'!$C:$C,MATCH(A234,'同比基准(2025年7月)'!$A:$A,0))))</f>
        <v/>
      </c>
    </row>
    <row r="235">
      <c r="A235" s="2" t="inlineStr">
        <is>
          <t>欧莱雅</t>
        </is>
      </c>
      <c r="B235" s="3" t="inlineStr">
        <is>
          <t>零售</t>
        </is>
      </c>
      <c r="C235" s="3" t="inlineStr">
        <is>
          <t>化妆品</t>
        </is>
      </c>
      <c r="D235" s="4" t="n">
        <v>48819.3</v>
      </c>
      <c r="E235" s="5">
        <f>IF(COUNTIF('同比基准(2025年7月)'!$A:$A,A235)=0,"新增",IF(INDEX('同比基准(2025年7月)'!$B:$B,MATCH(A235,'同比基准(2025年7月)'!$A:$A,0))=0,"",(D235-INDEX('同比基准(2025年7月)'!$B:$B,MATCH(A235,'同比基准(2025年7月)'!$A:$A,0)))/INDEX('同比基准(2025年7月)'!$B:$B,MATCH(A235,'同比基准(2025年7月)'!$A:$A,0))))</f>
        <v/>
      </c>
      <c r="F235" s="4" t="n">
        <v>0</v>
      </c>
      <c r="G235" s="5">
        <f>IF(COUNTIF('同比基准(2025年7月)'!$A:$A,A235)=0,"新增",IF(INDEX('同比基准(2025年7月)'!$C:$C,MATCH(A235,'同比基准(2025年7月)'!$A:$A,0))=0,"",(F235-INDEX('同比基准(2025年7月)'!$C:$C,MATCH(A235,'同比基准(2025年7月)'!$A:$A,0)))/INDEX('同比基准(2025年7月)'!$C:$C,MATCH(A235,'同比基准(2025年7月)'!$A:$A,0))))</f>
        <v/>
      </c>
    </row>
    <row r="236">
      <c r="A236" s="2" t="inlineStr">
        <is>
          <t>Mirabell</t>
        </is>
      </c>
      <c r="B236" s="3" t="inlineStr">
        <is>
          <t>零售</t>
        </is>
      </c>
      <c r="C236" s="3" t="inlineStr">
        <is>
          <t>鞋包</t>
        </is>
      </c>
      <c r="D236" s="4" t="n">
        <v>48232</v>
      </c>
      <c r="E236" s="5">
        <f>IF(COUNTIF('同比基准(2025年7月)'!$A:$A,A236)=0,"新增",IF(INDEX('同比基准(2025年7月)'!$B:$B,MATCH(A236,'同比基准(2025年7月)'!$A:$A,0))=0,"",(D236-INDEX('同比基准(2025年7月)'!$B:$B,MATCH(A236,'同比基准(2025年7月)'!$A:$A,0)))/INDEX('同比基准(2025年7月)'!$B:$B,MATCH(A236,'同比基准(2025年7月)'!$A:$A,0))))</f>
        <v/>
      </c>
      <c r="F236" s="4" t="n">
        <v>0</v>
      </c>
      <c r="G236" s="5">
        <f>IF(COUNTIF('同比基准(2025年7月)'!$A:$A,A236)=0,"新增",IF(INDEX('同比基准(2025年7月)'!$C:$C,MATCH(A236,'同比基准(2025年7月)'!$A:$A,0))=0,"",(F236-INDEX('同比基准(2025年7月)'!$C:$C,MATCH(A236,'同比基准(2025年7月)'!$A:$A,0)))/INDEX('同比基准(2025年7月)'!$C:$C,MATCH(A236,'同比基准(2025年7月)'!$A:$A,0))))</f>
        <v/>
      </c>
    </row>
    <row r="237">
      <c r="A237" s="2" t="inlineStr">
        <is>
          <t>糖小满</t>
        </is>
      </c>
      <c r="B237" s="3" t="inlineStr">
        <is>
          <t>餐饮</t>
        </is>
      </c>
      <c r="C237" s="3" t="inlineStr">
        <is>
          <t>休闲餐饮</t>
        </is>
      </c>
      <c r="D237" s="4" t="n">
        <v>45604.88</v>
      </c>
      <c r="E237" s="5">
        <f>IF(COUNTIF('同比基准(2025年7月)'!$A:$A,A237)=0,"新增",IF(INDEX('同比基准(2025年7月)'!$B:$B,MATCH(A237,'同比基准(2025年7月)'!$A:$A,0))=0,"",(D237-INDEX('同比基准(2025年7月)'!$B:$B,MATCH(A237,'同比基准(2025年7月)'!$A:$A,0)))/INDEX('同比基准(2025年7月)'!$B:$B,MATCH(A237,'同比基准(2025年7月)'!$A:$A,0))))</f>
        <v/>
      </c>
      <c r="F237" s="4" t="n">
        <v>0</v>
      </c>
      <c r="G237" s="5">
        <f>IF(COUNTIF('同比基准(2025年7月)'!$A:$A,A237)=0,"新增",IF(INDEX('同比基准(2025年7月)'!$C:$C,MATCH(A237,'同比基准(2025年7月)'!$A:$A,0))=0,"",(F237-INDEX('同比基准(2025年7月)'!$C:$C,MATCH(A237,'同比基准(2025年7月)'!$A:$A,0)))/INDEX('同比基准(2025年7月)'!$C:$C,MATCH(A237,'同比基准(2025年7月)'!$A:$A,0))))</f>
        <v/>
      </c>
    </row>
    <row r="238">
      <c r="A238" s="2" t="inlineStr">
        <is>
          <t>亨得利</t>
        </is>
      </c>
      <c r="B238" s="3" t="inlineStr">
        <is>
          <t>服务</t>
        </is>
      </c>
      <c r="C238" s="3" t="inlineStr">
        <is>
          <t>配套设施</t>
        </is>
      </c>
      <c r="D238" s="4" t="n">
        <v>44578</v>
      </c>
      <c r="E238" s="5">
        <f>IF(COUNTIF('同比基准(2025年7月)'!$A:$A,A238)=0,"新增",IF(INDEX('同比基准(2025年7月)'!$B:$B,MATCH(A238,'同比基准(2025年7月)'!$A:$A,0))=0,"",(D238-INDEX('同比基准(2025年7月)'!$B:$B,MATCH(A238,'同比基准(2025年7月)'!$A:$A,0)))/INDEX('同比基准(2025年7月)'!$B:$B,MATCH(A238,'同比基准(2025年7月)'!$A:$A,0))))</f>
        <v/>
      </c>
      <c r="F238" s="4" t="n">
        <v>0</v>
      </c>
      <c r="G238" s="5">
        <f>IF(COUNTIF('同比基准(2025年7月)'!$A:$A,A238)=0,"新增",IF(INDEX('同比基准(2025年7月)'!$C:$C,MATCH(A238,'同比基准(2025年7月)'!$A:$A,0))=0,"",(F238-INDEX('同比基准(2025年7月)'!$C:$C,MATCH(A238,'同比基准(2025年7月)'!$A:$A,0)))/INDEX('同比基准(2025年7月)'!$C:$C,MATCH(A238,'同比基准(2025年7月)'!$A:$A,0))))</f>
        <v/>
      </c>
    </row>
    <row r="239">
      <c r="A239" s="2" t="inlineStr">
        <is>
          <t>悦刻</t>
        </is>
      </c>
      <c r="B239" s="3" t="inlineStr">
        <is>
          <t>零售</t>
        </is>
      </c>
      <c r="C239" s="3" t="inlineStr">
        <is>
          <t>其他配套零售</t>
        </is>
      </c>
      <c r="D239" s="4" t="n">
        <v>43258</v>
      </c>
      <c r="E239" s="5">
        <f>IF(COUNTIF('同比基准(2025年7月)'!$A:$A,A239)=0,"新增",IF(INDEX('同比基准(2025年7月)'!$B:$B,MATCH(A239,'同比基准(2025年7月)'!$A:$A,0))=0,"",(D239-INDEX('同比基准(2025年7月)'!$B:$B,MATCH(A239,'同比基准(2025年7月)'!$A:$A,0)))/INDEX('同比基准(2025年7月)'!$B:$B,MATCH(A239,'同比基准(2025年7月)'!$A:$A,0))))</f>
        <v/>
      </c>
      <c r="F239" s="4" t="n">
        <v>0</v>
      </c>
      <c r="G239" s="5">
        <f>IF(COUNTIF('同比基准(2025年7月)'!$A:$A,A239)=0,"新增",IF(INDEX('同比基准(2025年7月)'!$C:$C,MATCH(A239,'同比基准(2025年7月)'!$A:$A,0))=0,"",(F239-INDEX('同比基准(2025年7月)'!$C:$C,MATCH(A239,'同比基准(2025年7月)'!$A:$A,0)))/INDEX('同比基准(2025年7月)'!$C:$C,MATCH(A239,'同比基准(2025年7月)'!$A:$A,0))))</f>
        <v/>
      </c>
    </row>
    <row r="240">
      <c r="A240" s="2" t="inlineStr">
        <is>
          <t>戴维贝拉</t>
        </is>
      </c>
      <c r="B240" s="3" t="inlineStr">
        <is>
          <t>零售</t>
        </is>
      </c>
      <c r="C240" s="3" t="inlineStr">
        <is>
          <t>儿童用品</t>
        </is>
      </c>
      <c r="D240" s="4" t="n">
        <v>42146</v>
      </c>
      <c r="E240" s="5">
        <f>IF(COUNTIF('同比基准(2025年7月)'!$A:$A,A240)=0,"新增",IF(INDEX('同比基准(2025年7月)'!$B:$B,MATCH(A240,'同比基准(2025年7月)'!$A:$A,0))=0,"",(D240-INDEX('同比基准(2025年7月)'!$B:$B,MATCH(A240,'同比基准(2025年7月)'!$A:$A,0)))/INDEX('同比基准(2025年7月)'!$B:$B,MATCH(A240,'同比基准(2025年7月)'!$A:$A,0))))</f>
        <v/>
      </c>
      <c r="F240" s="4" t="n">
        <v>0</v>
      </c>
      <c r="G240" s="5">
        <f>IF(COUNTIF('同比基准(2025年7月)'!$A:$A,A240)=0,"新增",IF(INDEX('同比基准(2025年7月)'!$C:$C,MATCH(A240,'同比基准(2025年7月)'!$A:$A,0))=0,"",(F240-INDEX('同比基准(2025年7月)'!$C:$C,MATCH(A240,'同比基准(2025年7月)'!$A:$A,0)))/INDEX('同比基准(2025年7月)'!$C:$C,MATCH(A240,'同比基准(2025年7月)'!$A:$A,0))))</f>
        <v/>
      </c>
    </row>
    <row r="241">
      <c r="A241" s="2" t="inlineStr">
        <is>
          <t>学而思</t>
        </is>
      </c>
      <c r="B241" s="3" t="inlineStr">
        <is>
          <t>零售</t>
        </is>
      </c>
      <c r="C241" s="3" t="inlineStr">
        <is>
          <t>儿童用品</t>
        </is>
      </c>
      <c r="D241" s="4" t="n">
        <v>40218</v>
      </c>
      <c r="E241" s="5">
        <f>IF(COUNTIF('同比基准(2025年7月)'!$A:$A,A241)=0,"新增",IF(INDEX('同比基准(2025年7月)'!$B:$B,MATCH(A241,'同比基准(2025年7月)'!$A:$A,0))=0,"",(D241-INDEX('同比基准(2025年7月)'!$B:$B,MATCH(A241,'同比基准(2025年7月)'!$A:$A,0)))/INDEX('同比基准(2025年7月)'!$B:$B,MATCH(A241,'同比基准(2025年7月)'!$A:$A,0))))</f>
        <v/>
      </c>
      <c r="F241" s="4" t="n">
        <v>0</v>
      </c>
      <c r="G241" s="5">
        <f>IF(COUNTIF('同比基准(2025年7月)'!$A:$A,A241)=0,"新增",IF(INDEX('同比基准(2025年7月)'!$C:$C,MATCH(A241,'同比基准(2025年7月)'!$A:$A,0))=0,"",(F241-INDEX('同比基准(2025年7月)'!$C:$C,MATCH(A241,'同比基准(2025年7月)'!$A:$A,0)))/INDEX('同比基准(2025年7月)'!$C:$C,MATCH(A241,'同比基准(2025年7月)'!$A:$A,0))))</f>
        <v/>
      </c>
    </row>
    <row r="242">
      <c r="A242" s="2" t="inlineStr">
        <is>
          <t>恰同学</t>
        </is>
      </c>
      <c r="B242" s="3" t="inlineStr">
        <is>
          <t>零售</t>
        </is>
      </c>
      <c r="C242" s="3" t="inlineStr">
        <is>
          <t>包装食品</t>
        </is>
      </c>
      <c r="D242" s="4" t="n">
        <v>39640.28</v>
      </c>
      <c r="E242" s="5">
        <f>IF(COUNTIF('同比基准(2025年7月)'!$A:$A,A242)=0,"新增",IF(INDEX('同比基准(2025年7月)'!$B:$B,MATCH(A242,'同比基准(2025年7月)'!$A:$A,0))=0,"",(D242-INDEX('同比基准(2025年7月)'!$B:$B,MATCH(A242,'同比基准(2025年7月)'!$A:$A,0)))/INDEX('同比基准(2025年7月)'!$B:$B,MATCH(A242,'同比基准(2025年7月)'!$A:$A,0))))</f>
        <v/>
      </c>
      <c r="F242" s="4" t="n">
        <v>0</v>
      </c>
      <c r="G242" s="5">
        <f>IF(COUNTIF('同比基准(2025年7月)'!$A:$A,A242)=0,"新增",IF(INDEX('同比基准(2025年7月)'!$C:$C,MATCH(A242,'同比基准(2025年7月)'!$A:$A,0))=0,"",(F242-INDEX('同比基准(2025年7月)'!$C:$C,MATCH(A242,'同比基准(2025年7月)'!$A:$A,0)))/INDEX('同比基准(2025年7月)'!$C:$C,MATCH(A242,'同比基准(2025年7月)'!$A:$A,0))))</f>
        <v/>
      </c>
    </row>
    <row r="243">
      <c r="A243" s="2" t="inlineStr">
        <is>
          <t>乐贴</t>
        </is>
      </c>
      <c r="B243" s="3" t="inlineStr">
        <is>
          <t>零售</t>
        </is>
      </c>
      <c r="C243" s="3" t="inlineStr">
        <is>
          <t>其他配套零售</t>
        </is>
      </c>
      <c r="D243" s="4" t="n">
        <v>38633.9</v>
      </c>
      <c r="E243" s="5">
        <f>IF(COUNTIF('同比基准(2025年7月)'!$A:$A,A243)=0,"新增",IF(INDEX('同比基准(2025年7月)'!$B:$B,MATCH(A243,'同比基准(2025年7月)'!$A:$A,0))=0,"",(D243-INDEX('同比基准(2025年7月)'!$B:$B,MATCH(A243,'同比基准(2025年7月)'!$A:$A,0)))/INDEX('同比基准(2025年7月)'!$B:$B,MATCH(A243,'同比基准(2025年7月)'!$A:$A,0))))</f>
        <v/>
      </c>
      <c r="F243" s="4" t="n">
        <v>0</v>
      </c>
      <c r="G243" s="5">
        <f>IF(COUNTIF('同比基准(2025年7月)'!$A:$A,A243)=0,"新增",IF(INDEX('同比基准(2025年7月)'!$C:$C,MATCH(A243,'同比基准(2025年7月)'!$A:$A,0))=0,"",(F243-INDEX('同比基准(2025年7月)'!$C:$C,MATCH(A243,'同比基准(2025年7月)'!$A:$A,0)))/INDEX('同比基准(2025年7月)'!$C:$C,MATCH(A243,'同比基准(2025年7月)'!$A:$A,0))))</f>
        <v/>
      </c>
    </row>
    <row r="244">
      <c r="A244" s="2" t="inlineStr">
        <is>
          <t>九尾狐</t>
        </is>
      </c>
      <c r="B244" s="3" t="inlineStr">
        <is>
          <t>餐饮</t>
        </is>
      </c>
      <c r="C244" s="3" t="inlineStr">
        <is>
          <t>休闲餐饮</t>
        </is>
      </c>
      <c r="D244" s="4" t="n">
        <v>37439.71</v>
      </c>
      <c r="E244" s="5">
        <f>IF(COUNTIF('同比基准(2025年7月)'!$A:$A,A244)=0,"新增",IF(INDEX('同比基准(2025年7月)'!$B:$B,MATCH(A244,'同比基准(2025年7月)'!$A:$A,0))=0,"",(D244-INDEX('同比基准(2025年7月)'!$B:$B,MATCH(A244,'同比基准(2025年7月)'!$A:$A,0)))/INDEX('同比基准(2025年7月)'!$B:$B,MATCH(A244,'同比基准(2025年7月)'!$A:$A,0))))</f>
        <v/>
      </c>
      <c r="F244" s="4" t="n">
        <v>0</v>
      </c>
      <c r="G244" s="5">
        <f>IF(COUNTIF('同比基准(2025年7月)'!$A:$A,A244)=0,"新增",IF(INDEX('同比基准(2025年7月)'!$C:$C,MATCH(A244,'同比基准(2025年7月)'!$A:$A,0))=0,"",(F244-INDEX('同比基准(2025年7月)'!$C:$C,MATCH(A244,'同比基准(2025年7月)'!$A:$A,0)))/INDEX('同比基准(2025年7月)'!$C:$C,MATCH(A244,'同比基准(2025年7月)'!$A:$A,0))))</f>
        <v/>
      </c>
    </row>
    <row r="245">
      <c r="A245" s="2" t="inlineStr">
        <is>
          <t>瑞多</t>
        </is>
      </c>
      <c r="B245" s="3" t="inlineStr">
        <is>
          <t>零售</t>
        </is>
      </c>
      <c r="C245" s="3" t="inlineStr">
        <is>
          <t>其他配套零售</t>
        </is>
      </c>
      <c r="D245" s="4" t="n">
        <v>34828</v>
      </c>
      <c r="E245" s="5">
        <f>IF(COUNTIF('同比基准(2025年7月)'!$A:$A,A245)=0,"新增",IF(INDEX('同比基准(2025年7月)'!$B:$B,MATCH(A245,'同比基准(2025年7月)'!$A:$A,0))=0,"",(D245-INDEX('同比基准(2025年7月)'!$B:$B,MATCH(A245,'同比基准(2025年7月)'!$A:$A,0)))/INDEX('同比基准(2025年7月)'!$B:$B,MATCH(A245,'同比基准(2025年7月)'!$A:$A,0))))</f>
        <v/>
      </c>
      <c r="F245" s="4" t="n">
        <v>0</v>
      </c>
      <c r="G245" s="5">
        <f>IF(COUNTIF('同比基准(2025年7月)'!$A:$A,A245)=0,"新增",IF(INDEX('同比基准(2025年7月)'!$C:$C,MATCH(A245,'同比基准(2025年7月)'!$A:$A,0))=0,"",(F245-INDEX('同比基准(2025年7月)'!$C:$C,MATCH(A245,'同比基准(2025年7月)'!$A:$A,0)))/INDEX('同比基准(2025年7月)'!$C:$C,MATCH(A245,'同比基准(2025年7月)'!$A:$A,0))))</f>
        <v/>
      </c>
    </row>
    <row r="246">
      <c r="A246" s="2" t="inlineStr">
        <is>
          <t>CASIO</t>
        </is>
      </c>
      <c r="B246" s="3" t="inlineStr">
        <is>
          <t>零售</t>
        </is>
      </c>
      <c r="C246" s="3" t="inlineStr">
        <is>
          <t>钟表/珠宝/高端笔/精品</t>
        </is>
      </c>
      <c r="D246" s="4" t="n">
        <v>33804</v>
      </c>
      <c r="E246" s="5">
        <f>IF(COUNTIF('同比基准(2025年7月)'!$A:$A,A246)=0,"新增",IF(INDEX('同比基准(2025年7月)'!$B:$B,MATCH(A246,'同比基准(2025年7月)'!$A:$A,0))=0,"",(D246-INDEX('同比基准(2025年7月)'!$B:$B,MATCH(A246,'同比基准(2025年7月)'!$A:$A,0)))/INDEX('同比基准(2025年7月)'!$B:$B,MATCH(A246,'同比基准(2025年7月)'!$A:$A,0))))</f>
        <v/>
      </c>
      <c r="F246" s="4" t="n">
        <v>587.54</v>
      </c>
      <c r="G246" s="5">
        <f>IF(COUNTIF('同比基准(2025年7月)'!$A:$A,A246)=0,"新增",IF(INDEX('同比基准(2025年7月)'!$C:$C,MATCH(A246,'同比基准(2025年7月)'!$A:$A,0))=0,"",(F246-INDEX('同比基准(2025年7月)'!$C:$C,MATCH(A246,'同比基准(2025年7月)'!$A:$A,0)))/INDEX('同比基准(2025年7月)'!$C:$C,MATCH(A246,'同比基准(2025年7月)'!$A:$A,0))))</f>
        <v/>
      </c>
    </row>
    <row r="247">
      <c r="A247" s="2" t="inlineStr">
        <is>
          <t>未来站</t>
        </is>
      </c>
      <c r="B247" s="3" t="inlineStr">
        <is>
          <t>娱乐</t>
        </is>
      </c>
      <c r="C247" s="3" t="inlineStr">
        <is>
          <t>儿童娱乐</t>
        </is>
      </c>
      <c r="D247" s="4" t="n">
        <v>33331.02</v>
      </c>
      <c r="E247" s="5">
        <f>IF(COUNTIF('同比基准(2025年7月)'!$A:$A,A247)=0,"新增",IF(INDEX('同比基准(2025年7月)'!$B:$B,MATCH(A247,'同比基准(2025年7月)'!$A:$A,0))=0,"",(D247-INDEX('同比基准(2025年7月)'!$B:$B,MATCH(A247,'同比基准(2025年7月)'!$A:$A,0)))/INDEX('同比基准(2025年7月)'!$B:$B,MATCH(A247,'同比基准(2025年7月)'!$A:$A,0))))</f>
        <v/>
      </c>
      <c r="F247" s="4" t="n">
        <v>0</v>
      </c>
      <c r="G247" s="5">
        <f>IF(COUNTIF('同比基准(2025年7月)'!$A:$A,A247)=0,"新增",IF(INDEX('同比基准(2025年7月)'!$C:$C,MATCH(A247,'同比基准(2025年7月)'!$A:$A,0))=0,"",(F247-INDEX('同比基准(2025年7月)'!$C:$C,MATCH(A247,'同比基准(2025年7月)'!$A:$A,0)))/INDEX('同比基准(2025年7月)'!$C:$C,MATCH(A247,'同比基准(2025年7月)'!$A:$A,0))))</f>
        <v/>
      </c>
    </row>
    <row r="248">
      <c r="A248" s="2" t="inlineStr">
        <is>
          <t>德罗心</t>
        </is>
      </c>
      <c r="B248" s="3" t="inlineStr">
        <is>
          <t>餐饮</t>
        </is>
      </c>
      <c r="C248" s="3" t="inlineStr">
        <is>
          <t>休闲餐饮</t>
        </is>
      </c>
      <c r="D248" s="4" t="n">
        <v>33061.6</v>
      </c>
      <c r="E248" s="5">
        <f>IF(COUNTIF('同比基准(2025年7月)'!$A:$A,A248)=0,"新增",IF(INDEX('同比基准(2025年7月)'!$B:$B,MATCH(A248,'同比基准(2025年7月)'!$A:$A,0))=0,"",(D248-INDEX('同比基准(2025年7月)'!$B:$B,MATCH(A248,'同比基准(2025年7月)'!$A:$A,0)))/INDEX('同比基准(2025年7月)'!$B:$B,MATCH(A248,'同比基准(2025年7月)'!$A:$A,0))))</f>
        <v/>
      </c>
      <c r="F248" s="4" t="n">
        <v>0</v>
      </c>
      <c r="G248" s="5">
        <f>IF(COUNTIF('同比基准(2025年7月)'!$A:$A,A248)=0,"新增",IF(INDEX('同比基准(2025年7月)'!$C:$C,MATCH(A248,'同比基准(2025年7月)'!$A:$A,0))=0,"",(F248-INDEX('同比基准(2025年7月)'!$C:$C,MATCH(A248,'同比基准(2025年7月)'!$A:$A,0)))/INDEX('同比基准(2025年7月)'!$C:$C,MATCH(A248,'同比基准(2025年7月)'!$A:$A,0))))</f>
        <v/>
      </c>
    </row>
    <row r="249">
      <c r="A249" s="2" t="inlineStr">
        <is>
          <t>乐刻</t>
        </is>
      </c>
      <c r="B249" s="3" t="inlineStr">
        <is>
          <t>服务</t>
        </is>
      </c>
      <c r="C249" s="3" t="inlineStr">
        <is>
          <t>美容美体保健</t>
        </is>
      </c>
      <c r="D249" s="4" t="n">
        <v>31000</v>
      </c>
      <c r="E249" s="5">
        <f>IF(COUNTIF('同比基准(2025年7月)'!$A:$A,A249)=0,"新增",IF(INDEX('同比基准(2025年7月)'!$B:$B,MATCH(A249,'同比基准(2025年7月)'!$A:$A,0))=0,"",(D249-INDEX('同比基准(2025年7月)'!$B:$B,MATCH(A249,'同比基准(2025年7月)'!$A:$A,0)))/INDEX('同比基准(2025年7月)'!$B:$B,MATCH(A249,'同比基准(2025年7月)'!$A:$A,0))))</f>
        <v/>
      </c>
      <c r="F249" s="4" t="n">
        <v>0</v>
      </c>
      <c r="G249" s="5">
        <f>IF(COUNTIF('同比基准(2025年7月)'!$A:$A,A249)=0,"新增",IF(INDEX('同比基准(2025年7月)'!$C:$C,MATCH(A249,'同比基准(2025年7月)'!$A:$A,0))=0,"",(F249-INDEX('同比基准(2025年7月)'!$C:$C,MATCH(A249,'同比基准(2025年7月)'!$A:$A,0)))/INDEX('同比基准(2025年7月)'!$C:$C,MATCH(A249,'同比基准(2025年7月)'!$A:$A,0))))</f>
        <v/>
      </c>
    </row>
    <row r="250">
      <c r="A250" s="2" t="inlineStr">
        <is>
          <t>FELICIA</t>
        </is>
      </c>
      <c r="B250" s="3" t="inlineStr">
        <is>
          <t>零售</t>
        </is>
      </c>
      <c r="C250" s="3" t="inlineStr">
        <is>
          <t>其他配套零售</t>
        </is>
      </c>
      <c r="D250" s="4" t="n">
        <v>29426</v>
      </c>
      <c r="E250" s="5">
        <f>IF(COUNTIF('同比基准(2025年7月)'!$A:$A,A250)=0,"新增",IF(INDEX('同比基准(2025年7月)'!$B:$B,MATCH(A250,'同比基准(2025年7月)'!$A:$A,0))=0,"",(D250-INDEX('同比基准(2025年7月)'!$B:$B,MATCH(A250,'同比基准(2025年7月)'!$A:$A,0)))/INDEX('同比基准(2025年7月)'!$B:$B,MATCH(A250,'同比基准(2025年7月)'!$A:$A,0))))</f>
        <v/>
      </c>
      <c r="F250" s="4" t="n">
        <v>0</v>
      </c>
      <c r="G250" s="5">
        <f>IF(COUNTIF('同比基准(2025年7月)'!$A:$A,A250)=0,"新增",IF(INDEX('同比基准(2025年7月)'!$C:$C,MATCH(A250,'同比基准(2025年7月)'!$A:$A,0))=0,"",(F250-INDEX('同比基准(2025年7月)'!$C:$C,MATCH(A250,'同比基准(2025年7月)'!$A:$A,0)))/INDEX('同比基准(2025年7月)'!$C:$C,MATCH(A250,'同比基准(2025年7月)'!$A:$A,0))))</f>
        <v/>
      </c>
    </row>
    <row r="251">
      <c r="A251" s="2" t="inlineStr">
        <is>
          <t>不二同学</t>
        </is>
      </c>
      <c r="B251" s="3" t="inlineStr">
        <is>
          <t>零售</t>
        </is>
      </c>
      <c r="C251" s="3" t="inlineStr">
        <is>
          <t>包装食品</t>
        </is>
      </c>
      <c r="D251" s="4" t="n">
        <v>25486.77</v>
      </c>
      <c r="E251" s="5">
        <f>IF(COUNTIF('同比基准(2025年7月)'!$A:$A,A251)=0,"新增",IF(INDEX('同比基准(2025年7月)'!$B:$B,MATCH(A251,'同比基准(2025年7月)'!$A:$A,0))=0,"",(D251-INDEX('同比基准(2025年7月)'!$B:$B,MATCH(A251,'同比基准(2025年7月)'!$A:$A,0)))/INDEX('同比基准(2025年7月)'!$B:$B,MATCH(A251,'同比基准(2025年7月)'!$A:$A,0))))</f>
        <v/>
      </c>
      <c r="F251" s="4" t="n">
        <v>0</v>
      </c>
      <c r="G251" s="5">
        <f>IF(COUNTIF('同比基准(2025年7月)'!$A:$A,A251)=0,"新增",IF(INDEX('同比基准(2025年7月)'!$C:$C,MATCH(A251,'同比基准(2025年7月)'!$A:$A,0))=0,"",(F251-INDEX('同比基准(2025年7月)'!$C:$C,MATCH(A251,'同比基准(2025年7月)'!$A:$A,0)))/INDEX('同比基准(2025年7月)'!$C:$C,MATCH(A251,'同比基准(2025年7月)'!$A:$A,0))))</f>
        <v/>
      </c>
    </row>
    <row r="252">
      <c r="A252" s="2" t="inlineStr">
        <is>
          <t>光铄童心</t>
        </is>
      </c>
      <c r="B252" s="3" t="inlineStr">
        <is>
          <t>服务</t>
        </is>
      </c>
      <c r="C252" s="3" t="inlineStr">
        <is>
          <t>儿童教育/儿童服务</t>
        </is>
      </c>
      <c r="D252" s="4" t="n">
        <v>22205.64</v>
      </c>
      <c r="E252" s="5">
        <f>IF(COUNTIF('同比基准(2025年7月)'!$A:$A,A252)=0,"新增",IF(INDEX('同比基准(2025年7月)'!$B:$B,MATCH(A252,'同比基准(2025年7月)'!$A:$A,0))=0,"",(D252-INDEX('同比基准(2025年7月)'!$B:$B,MATCH(A252,'同比基准(2025年7月)'!$A:$A,0)))/INDEX('同比基准(2025年7月)'!$B:$B,MATCH(A252,'同比基准(2025年7月)'!$A:$A,0))))</f>
        <v/>
      </c>
      <c r="F252" s="4" t="n">
        <v>0</v>
      </c>
      <c r="G252" s="5">
        <f>IF(COUNTIF('同比基准(2025年7月)'!$A:$A,A252)=0,"新增",IF(INDEX('同比基准(2025年7月)'!$C:$C,MATCH(A252,'同比基准(2025年7月)'!$A:$A,0))=0,"",(F252-INDEX('同比基准(2025年7月)'!$C:$C,MATCH(A252,'同比基准(2025年7月)'!$A:$A,0)))/INDEX('同比基准(2025年7月)'!$C:$C,MATCH(A252,'同比基准(2025年7月)'!$A:$A,0))))</f>
        <v/>
      </c>
    </row>
    <row r="253">
      <c r="A253" s="2" t="inlineStr">
        <is>
          <t>EEKA M CLUB</t>
        </is>
      </c>
      <c r="B253" s="3" t="inlineStr">
        <is>
          <t>零售</t>
        </is>
      </c>
      <c r="C253" s="3" t="inlineStr">
        <is>
          <t>服装服饰</t>
        </is>
      </c>
      <c r="D253" s="4" t="n">
        <v>21957</v>
      </c>
      <c r="E253" s="5">
        <f>IF(COUNTIF('同比基准(2025年7月)'!$A:$A,A253)=0,"新增",IF(INDEX('同比基准(2025年7月)'!$B:$B,MATCH(A253,'同比基准(2025年7月)'!$A:$A,0))=0,"",(D253-INDEX('同比基准(2025年7月)'!$B:$B,MATCH(A253,'同比基准(2025年7月)'!$A:$A,0)))/INDEX('同比基准(2025年7月)'!$B:$B,MATCH(A253,'同比基准(2025年7月)'!$A:$A,0))))</f>
        <v/>
      </c>
      <c r="F253" s="4" t="n">
        <v>0</v>
      </c>
      <c r="G253" s="5">
        <f>IF(COUNTIF('同比基准(2025年7月)'!$A:$A,A253)=0,"新增",IF(INDEX('同比基准(2025年7月)'!$C:$C,MATCH(A253,'同比基准(2025年7月)'!$A:$A,0))=0,"",(F253-INDEX('同比基准(2025年7月)'!$C:$C,MATCH(A253,'同比基准(2025年7月)'!$A:$A,0)))/INDEX('同比基准(2025年7月)'!$C:$C,MATCH(A253,'同比基准(2025年7月)'!$A:$A,0))))</f>
        <v/>
      </c>
    </row>
    <row r="254">
      <c r="A254" s="2" t="inlineStr">
        <is>
          <t>诺安蔻</t>
        </is>
      </c>
      <c r="B254" s="3" t="inlineStr">
        <is>
          <t>餐饮</t>
        </is>
      </c>
      <c r="C254" s="3" t="inlineStr">
        <is>
          <t>休闲餐饮</t>
        </is>
      </c>
      <c r="D254" s="4" t="n">
        <v>21153.8</v>
      </c>
      <c r="E254" s="5">
        <f>IF(COUNTIF('同比基准(2025年7月)'!$A:$A,A254)=0,"新增",IF(INDEX('同比基准(2025年7月)'!$B:$B,MATCH(A254,'同比基准(2025年7月)'!$A:$A,0))=0,"",(D254-INDEX('同比基准(2025年7月)'!$B:$B,MATCH(A254,'同比基准(2025年7月)'!$A:$A,0)))/INDEX('同比基准(2025年7月)'!$B:$B,MATCH(A254,'同比基准(2025年7月)'!$A:$A,0))))</f>
        <v/>
      </c>
      <c r="F254" s="4" t="n">
        <v>0</v>
      </c>
      <c r="G254" s="5">
        <f>IF(COUNTIF('同比基准(2025年7月)'!$A:$A,A254)=0,"新增",IF(INDEX('同比基准(2025年7月)'!$C:$C,MATCH(A254,'同比基准(2025年7月)'!$A:$A,0))=0,"",(F254-INDEX('同比基准(2025年7月)'!$C:$C,MATCH(A254,'同比基准(2025年7月)'!$A:$A,0)))/INDEX('同比基准(2025年7月)'!$C:$C,MATCH(A254,'同比基准(2025年7月)'!$A:$A,0))))</f>
        <v/>
      </c>
    </row>
    <row r="255">
      <c r="A255" s="2" t="inlineStr">
        <is>
          <t>爷爷不泡茶</t>
        </is>
      </c>
      <c r="B255" s="3" t="inlineStr">
        <is>
          <t>餐饮</t>
        </is>
      </c>
      <c r="C255" s="3" t="inlineStr">
        <is>
          <t>休闲餐饮</t>
        </is>
      </c>
      <c r="D255" s="4" t="n">
        <v>19251.66</v>
      </c>
      <c r="E255" s="5">
        <f>IF(COUNTIF('同比基准(2025年7月)'!$A:$A,A255)=0,"新增",IF(INDEX('同比基准(2025年7月)'!$B:$B,MATCH(A255,'同比基准(2025年7月)'!$A:$A,0))=0,"",(D255-INDEX('同比基准(2025年7月)'!$B:$B,MATCH(A255,'同比基准(2025年7月)'!$A:$A,0)))/INDEX('同比基准(2025年7月)'!$B:$B,MATCH(A255,'同比基准(2025年7月)'!$A:$A,0))))</f>
        <v/>
      </c>
      <c r="F255" s="4" t="n">
        <v>0</v>
      </c>
      <c r="G255" s="5">
        <f>IF(COUNTIF('同比基准(2025年7月)'!$A:$A,A255)=0,"新增",IF(INDEX('同比基准(2025年7月)'!$C:$C,MATCH(A255,'同比基准(2025年7月)'!$A:$A,0))=0,"",(F255-INDEX('同比基准(2025年7月)'!$C:$C,MATCH(A255,'同比基准(2025年7月)'!$A:$A,0)))/INDEX('同比基准(2025年7月)'!$C:$C,MATCH(A255,'同比基准(2025年7月)'!$A:$A,0))))</f>
        <v/>
      </c>
    </row>
    <row r="256">
      <c r="A256" s="2" t="inlineStr">
        <is>
          <t>魔法之约</t>
        </is>
      </c>
      <c r="B256" s="3" t="inlineStr">
        <is>
          <t>零售</t>
        </is>
      </c>
      <c r="C256" s="3" t="inlineStr">
        <is>
          <t>其他配套零售</t>
        </is>
      </c>
      <c r="D256" s="4" t="n">
        <v>19128</v>
      </c>
      <c r="E256" s="5">
        <f>IF(COUNTIF('同比基准(2025年7月)'!$A:$A,A256)=0,"新增",IF(INDEX('同比基准(2025年7月)'!$B:$B,MATCH(A256,'同比基准(2025年7月)'!$A:$A,0))=0,"",(D256-INDEX('同比基准(2025年7月)'!$B:$B,MATCH(A256,'同比基准(2025年7月)'!$A:$A,0)))/INDEX('同比基准(2025年7月)'!$B:$B,MATCH(A256,'同比基准(2025年7月)'!$A:$A,0))))</f>
        <v/>
      </c>
      <c r="F256" s="4" t="n">
        <v>0</v>
      </c>
      <c r="G256" s="5">
        <f>IF(COUNTIF('同比基准(2025年7月)'!$A:$A,A256)=0,"新增",IF(INDEX('同比基准(2025年7月)'!$C:$C,MATCH(A256,'同比基准(2025年7月)'!$A:$A,0))=0,"",(F256-INDEX('同比基准(2025年7月)'!$C:$C,MATCH(A256,'同比基准(2025年7月)'!$A:$A,0)))/INDEX('同比基准(2025年7月)'!$C:$C,MATCH(A256,'同比基准(2025年7月)'!$A:$A,0))))</f>
        <v/>
      </c>
    </row>
    <row r="257">
      <c r="A257" s="2" t="inlineStr">
        <is>
          <t>图唯塔</t>
        </is>
      </c>
      <c r="B257" s="3" t="inlineStr">
        <is>
          <t>零售</t>
        </is>
      </c>
      <c r="C257" s="3" t="inlineStr">
        <is>
          <t>包装食品</t>
        </is>
      </c>
      <c r="D257" s="4" t="n">
        <v>19044.76</v>
      </c>
      <c r="E257" s="5">
        <f>IF(COUNTIF('同比基准(2025年7月)'!$A:$A,A257)=0,"新增",IF(INDEX('同比基准(2025年7月)'!$B:$B,MATCH(A257,'同比基准(2025年7月)'!$A:$A,0))=0,"",(D257-INDEX('同比基准(2025年7月)'!$B:$B,MATCH(A257,'同比基准(2025年7月)'!$A:$A,0)))/INDEX('同比基准(2025年7月)'!$B:$B,MATCH(A257,'同比基准(2025年7月)'!$A:$A,0))))</f>
        <v/>
      </c>
      <c r="F257" s="4" t="n">
        <v>0</v>
      </c>
      <c r="G257" s="5">
        <f>IF(COUNTIF('同比基准(2025年7月)'!$A:$A,A257)=0,"新增",IF(INDEX('同比基准(2025年7月)'!$C:$C,MATCH(A257,'同比基准(2025年7月)'!$A:$A,0))=0,"",(F257-INDEX('同比基准(2025年7月)'!$C:$C,MATCH(A257,'同比基准(2025年7月)'!$A:$A,0)))/INDEX('同比基准(2025年7月)'!$C:$C,MATCH(A257,'同比基准(2025年7月)'!$A:$A,0))))</f>
        <v/>
      </c>
    </row>
    <row r="258">
      <c r="A258" s="2" t="inlineStr">
        <is>
          <t>另茶</t>
        </is>
      </c>
      <c r="B258" s="3" t="inlineStr">
        <is>
          <t>餐饮</t>
        </is>
      </c>
      <c r="C258" s="3" t="inlineStr">
        <is>
          <t>休闲餐饮</t>
        </is>
      </c>
      <c r="D258" s="4" t="n">
        <v>16495.2</v>
      </c>
      <c r="E258" s="5">
        <f>IF(COUNTIF('同比基准(2025年7月)'!$A:$A,A258)=0,"新增",IF(INDEX('同比基准(2025年7月)'!$B:$B,MATCH(A258,'同比基准(2025年7月)'!$A:$A,0))=0,"",(D258-INDEX('同比基准(2025年7月)'!$B:$B,MATCH(A258,'同比基准(2025年7月)'!$A:$A,0)))/INDEX('同比基准(2025年7月)'!$B:$B,MATCH(A258,'同比基准(2025年7月)'!$A:$A,0))))</f>
        <v/>
      </c>
      <c r="F258" s="4" t="n">
        <v>0</v>
      </c>
      <c r="G258" s="5">
        <f>IF(COUNTIF('同比基准(2025年7月)'!$A:$A,A258)=0,"新增",IF(INDEX('同比基准(2025年7月)'!$C:$C,MATCH(A258,'同比基准(2025年7月)'!$A:$A,0))=0,"",(F258-INDEX('同比基准(2025年7月)'!$C:$C,MATCH(A258,'同比基准(2025年7月)'!$A:$A,0)))/INDEX('同比基准(2025年7月)'!$C:$C,MATCH(A258,'同比基准(2025年7月)'!$A:$A,0))))</f>
        <v/>
      </c>
    </row>
    <row r="259">
      <c r="A259" s="2" t="inlineStr">
        <is>
          <t>贝佳颜</t>
        </is>
      </c>
      <c r="B259" s="3" t="inlineStr">
        <is>
          <t>服务</t>
        </is>
      </c>
      <c r="C259" s="3" t="inlineStr">
        <is>
          <t>美容美体保健</t>
        </is>
      </c>
      <c r="D259" s="4" t="n">
        <v>12084</v>
      </c>
      <c r="E259" s="5">
        <f>IF(COUNTIF('同比基准(2025年7月)'!$A:$A,A259)=0,"新增",IF(INDEX('同比基准(2025年7月)'!$B:$B,MATCH(A259,'同比基准(2025年7月)'!$A:$A,0))=0,"",(D259-INDEX('同比基准(2025年7月)'!$B:$B,MATCH(A259,'同比基准(2025年7月)'!$A:$A,0)))/INDEX('同比基准(2025年7月)'!$B:$B,MATCH(A259,'同比基准(2025年7月)'!$A:$A,0))))</f>
        <v/>
      </c>
      <c r="F259" s="4" t="n">
        <v>0</v>
      </c>
      <c r="G259" s="5">
        <f>IF(COUNTIF('同比基准(2025年7月)'!$A:$A,A259)=0,"新增",IF(INDEX('同比基准(2025年7月)'!$C:$C,MATCH(A259,'同比基准(2025年7月)'!$A:$A,0))=0,"",(F259-INDEX('同比基准(2025年7月)'!$C:$C,MATCH(A259,'同比基准(2025年7月)'!$A:$A,0)))/INDEX('同比基准(2025年7月)'!$C:$C,MATCH(A259,'同比基准(2025年7月)'!$A:$A,0))))</f>
        <v/>
      </c>
    </row>
    <row r="260">
      <c r="A260" s="2" t="inlineStr">
        <is>
          <t>梧桐姥姥</t>
        </is>
      </c>
      <c r="B260" s="3" t="inlineStr">
        <is>
          <t>餐饮</t>
        </is>
      </c>
      <c r="C260" s="3" t="inlineStr">
        <is>
          <t>休闲餐饮</t>
        </is>
      </c>
      <c r="D260" s="4" t="n">
        <v>2705</v>
      </c>
      <c r="E260" s="5">
        <f>IF(COUNTIF('同比基准(2025年7月)'!$A:$A,A260)=0,"新增",IF(INDEX('同比基准(2025年7月)'!$B:$B,MATCH(A260,'同比基准(2025年7月)'!$A:$A,0))=0,"",(D260-INDEX('同比基准(2025年7月)'!$B:$B,MATCH(A260,'同比基准(2025年7月)'!$A:$A,0)))/INDEX('同比基准(2025年7月)'!$B:$B,MATCH(A260,'同比基准(2025年7月)'!$A:$A,0))))</f>
        <v/>
      </c>
      <c r="F260" s="4" t="n">
        <v>0</v>
      </c>
      <c r="G260" s="5">
        <f>IF(COUNTIF('同比基准(2025年7月)'!$A:$A,A260)=0,"新增",IF(INDEX('同比基准(2025年7月)'!$C:$C,MATCH(A260,'同比基准(2025年7月)'!$A:$A,0))=0,"",(F260-INDEX('同比基准(2025年7月)'!$C:$C,MATCH(A260,'同比基准(2025年7月)'!$A:$A,0)))/INDEX('同比基准(2025年7月)'!$C:$C,MATCH(A260,'同比基准(2025年7月)'!$A:$A,0))))</f>
        <v/>
      </c>
    </row>
    <row r="261">
      <c r="A261" s="2" t="inlineStr">
        <is>
          <t>CGX</t>
        </is>
      </c>
      <c r="B261" s="3" t="inlineStr">
        <is>
          <t>零售</t>
        </is>
      </c>
      <c r="C261" s="3" t="inlineStr">
        <is>
          <t>鞋包</t>
        </is>
      </c>
      <c r="D261" s="4" t="n">
        <v>1688</v>
      </c>
      <c r="E261" s="5">
        <f>IF(COUNTIF('同比基准(2025年7月)'!$A:$A,A261)=0,"新增",IF(INDEX('同比基准(2025年7月)'!$B:$B,MATCH(A261,'同比基准(2025年7月)'!$A:$A,0))=0,"",(D261-INDEX('同比基准(2025年7月)'!$B:$B,MATCH(A261,'同比基准(2025年7月)'!$A:$A,0)))/INDEX('同比基准(2025年7月)'!$B:$B,MATCH(A261,'同比基准(2025年7月)'!$A:$A,0))))</f>
        <v/>
      </c>
      <c r="F261" s="4" t="n">
        <v>0</v>
      </c>
      <c r="G261" s="5">
        <f>IF(COUNTIF('同比基准(2025年7月)'!$A:$A,A261)=0,"新增",IF(INDEX('同比基准(2025年7月)'!$C:$C,MATCH(A261,'同比基准(2025年7月)'!$A:$A,0))=0,"",(F261-INDEX('同比基准(2025年7月)'!$C:$C,MATCH(A261,'同比基准(2025年7月)'!$A:$A,0)))/INDEX('同比基准(2025年7月)'!$C:$C,MATCH(A261,'同比基准(2025年7月)'!$A:$A,0))))</f>
        <v/>
      </c>
    </row>
    <row r="262">
      <c r="A262" s="2" t="inlineStr">
        <is>
          <t>理想</t>
        </is>
      </c>
      <c r="B262" s="3" t="inlineStr">
        <is>
          <t>服务</t>
        </is>
      </c>
      <c r="C262" s="3" t="inlineStr">
        <is>
          <t>配套设施</t>
        </is>
      </c>
      <c r="D262" s="4" t="n">
        <v>0</v>
      </c>
      <c r="E262" s="5">
        <f>IF(COUNTIF('同比基准(2025年7月)'!$A:$A,A262)=0,"新增",IF(INDEX('同比基准(2025年7月)'!$B:$B,MATCH(A262,'同比基准(2025年7月)'!$A:$A,0))=0,"",(D262-INDEX('同比基准(2025年7月)'!$B:$B,MATCH(A262,'同比基准(2025年7月)'!$A:$A,0)))/INDEX('同比基准(2025年7月)'!$B:$B,MATCH(A262,'同比基准(2025年7月)'!$A:$A,0))))</f>
        <v/>
      </c>
      <c r="F262" s="4" t="n">
        <v>0</v>
      </c>
      <c r="G262" s="5">
        <f>IF(COUNTIF('同比基准(2025年7月)'!$A:$A,A262)=0,"新增",IF(INDEX('同比基准(2025年7月)'!$C:$C,MATCH(A262,'同比基准(2025年7月)'!$A:$A,0))=0,"",(F262-INDEX('同比基准(2025年7月)'!$C:$C,MATCH(A262,'同比基准(2025年7月)'!$A:$A,0)))/INDEX('同比基准(2025年7月)'!$C:$C,MATCH(A262,'同比基准(2025年7月)'!$A:$A,0))))</f>
        <v/>
      </c>
    </row>
    <row r="263">
      <c r="A263" s="2" t="inlineStr">
        <is>
          <t>滨寿司(HAMASUSHI)</t>
        </is>
      </c>
      <c r="B263" s="3" t="inlineStr">
        <is>
          <t>餐饮</t>
        </is>
      </c>
      <c r="C263" s="3" t="inlineStr">
        <is>
          <t>特色餐饮</t>
        </is>
      </c>
      <c r="D263" s="4" t="n">
        <v>0</v>
      </c>
      <c r="E263" s="5">
        <f>IF(COUNTIF('同比基准(2025年7月)'!$A:$A,A263)=0,"新增",IF(INDEX('同比基准(2025年7月)'!$B:$B,MATCH(A263,'同比基准(2025年7月)'!$A:$A,0))=0,"",(D263-INDEX('同比基准(2025年7月)'!$B:$B,MATCH(A263,'同比基准(2025年7月)'!$A:$A,0)))/INDEX('同比基准(2025年7月)'!$B:$B,MATCH(A263,'同比基准(2025年7月)'!$A:$A,0))))</f>
        <v/>
      </c>
      <c r="F263" s="4" t="n">
        <v>0</v>
      </c>
      <c r="G263" s="5">
        <f>IF(COUNTIF('同比基准(2025年7月)'!$A:$A,A263)=0,"新增",IF(INDEX('同比基准(2025年7月)'!$C:$C,MATCH(A263,'同比基准(2025年7月)'!$A:$A,0))=0,"",(F263-INDEX('同比基准(2025年7月)'!$C:$C,MATCH(A263,'同比基准(2025年7月)'!$A:$A,0)))/INDEX('同比基准(2025年7月)'!$C:$C,MATCH(A263,'同比基准(2025年7月)'!$A:$A,0))))</f>
        <v/>
      </c>
    </row>
    <row r="264">
      <c r="A264" s="2" t="inlineStr">
        <is>
          <t>极氪(ZEEKR)</t>
        </is>
      </c>
      <c r="B264" s="3" t="inlineStr">
        <is>
          <t>服务</t>
        </is>
      </c>
      <c r="C264" s="3" t="inlineStr">
        <is>
          <t>配套设施</t>
        </is>
      </c>
      <c r="D264" s="4" t="n">
        <v>0</v>
      </c>
      <c r="E264" s="5">
        <f>IF(COUNTIF('同比基准(2025年7月)'!$A:$A,A264)=0,"新增",IF(INDEX('同比基准(2025年7月)'!$B:$B,MATCH(A264,'同比基准(2025年7月)'!$A:$A,0))=0,"",(D264-INDEX('同比基准(2025年7月)'!$B:$B,MATCH(A264,'同比基准(2025年7月)'!$A:$A,0)))/INDEX('同比基准(2025年7月)'!$B:$B,MATCH(A264,'同比基准(2025年7月)'!$A:$A,0))))</f>
        <v/>
      </c>
      <c r="F264" s="4" t="n">
        <v>0</v>
      </c>
      <c r="G264" s="5">
        <f>IF(COUNTIF('同比基准(2025年7月)'!$A:$A,A264)=0,"新增",IF(INDEX('同比基准(2025年7月)'!$C:$C,MATCH(A264,'同比基准(2025年7月)'!$A:$A,0))=0,"",(F264-INDEX('同比基准(2025年7月)'!$C:$C,MATCH(A264,'同比基准(2025年7月)'!$A:$A,0)))/INDEX('同比基准(2025年7月)'!$C:$C,MATCH(A264,'同比基准(2025年7月)'!$A:$A,0))))</f>
        <v/>
      </c>
    </row>
    <row r="265">
      <c r="A265" s="2" t="inlineStr">
        <is>
          <t>小罐茶</t>
        </is>
      </c>
      <c r="B265" s="3" t="inlineStr">
        <is>
          <t>零售</t>
        </is>
      </c>
      <c r="C265" s="3" t="inlineStr"/>
      <c r="D265" s="4" t="n">
        <v>0</v>
      </c>
      <c r="E265" s="5">
        <f>IF(COUNTIF('同比基准(2025年7月)'!$A:$A,A265)=0,"新增",IF(INDEX('同比基准(2025年7月)'!$B:$B,MATCH(A265,'同比基准(2025年7月)'!$A:$A,0))=0,"",(D265-INDEX('同比基准(2025年7月)'!$B:$B,MATCH(A265,'同比基准(2025年7月)'!$A:$A,0)))/INDEX('同比基准(2025年7月)'!$B:$B,MATCH(A265,'同比基准(2025年7月)'!$A:$A,0))))</f>
        <v/>
      </c>
      <c r="F265" s="4" t="n">
        <v>0</v>
      </c>
      <c r="G265" s="5">
        <f>IF(COUNTIF('同比基准(2025年7月)'!$A:$A,A265)=0,"新增",IF(INDEX('同比基准(2025年7月)'!$C:$C,MATCH(A265,'同比基准(2025年7月)'!$A:$A,0))=0,"",(F265-INDEX('同比基准(2025年7月)'!$C:$C,MATCH(A265,'同比基准(2025年7月)'!$A:$A,0)))/INDEX('同比基准(2025年7月)'!$C:$C,MATCH(A265,'同比基准(2025年7月)'!$A:$A,0))))</f>
        <v/>
      </c>
    </row>
    <row r="266">
      <c r="A266" s="2" t="inlineStr">
        <is>
          <t>萨莱伊</t>
        </is>
      </c>
      <c r="B266" s="3" t="inlineStr">
        <is>
          <t>零售</t>
        </is>
      </c>
      <c r="C266" s="3" t="inlineStr">
        <is>
          <t>服装服饰</t>
        </is>
      </c>
      <c r="D266" s="4" t="n">
        <v>0</v>
      </c>
      <c r="E266" s="5">
        <f>IF(COUNTIF('同比基准(2025年7月)'!$A:$A,A266)=0,"新增",IF(INDEX('同比基准(2025年7月)'!$B:$B,MATCH(A266,'同比基准(2025年7月)'!$A:$A,0))=0,"",(D266-INDEX('同比基准(2025年7月)'!$B:$B,MATCH(A266,'同比基准(2025年7月)'!$A:$A,0)))/INDEX('同比基准(2025年7月)'!$B:$B,MATCH(A266,'同比基准(2025年7月)'!$A:$A,0))))</f>
        <v/>
      </c>
      <c r="F266" s="4" t="n">
        <v>0</v>
      </c>
      <c r="G266" s="5">
        <f>IF(COUNTIF('同比基准(2025年7月)'!$A:$A,A266)=0,"新增",IF(INDEX('同比基准(2025年7月)'!$C:$C,MATCH(A266,'同比基准(2025年7月)'!$A:$A,0))=0,"",(F266-INDEX('同比基准(2025年7月)'!$C:$C,MATCH(A266,'同比基准(2025年7月)'!$A:$A,0)))/INDEX('同比基准(2025年7月)'!$C:$C,MATCH(A266,'同比基准(2025年7月)'!$A:$A,0))))</f>
        <v/>
      </c>
    </row>
    <row r="267">
      <c r="A267" s="2" t="inlineStr">
        <is>
          <t>乐道</t>
        </is>
      </c>
      <c r="B267" s="3" t="inlineStr">
        <is>
          <t>服务</t>
        </is>
      </c>
      <c r="C267" s="3" t="inlineStr">
        <is>
          <t>配套设施</t>
        </is>
      </c>
      <c r="D267" s="4" t="n">
        <v>0</v>
      </c>
      <c r="E267" s="5">
        <f>IF(COUNTIF('同比基准(2025年7月)'!$A:$A,A267)=0,"新增",IF(INDEX('同比基准(2025年7月)'!$B:$B,MATCH(A267,'同比基准(2025年7月)'!$A:$A,0))=0,"",(D267-INDEX('同比基准(2025年7月)'!$B:$B,MATCH(A267,'同比基准(2025年7月)'!$A:$A,0)))/INDEX('同比基准(2025年7月)'!$B:$B,MATCH(A267,'同比基准(2025年7月)'!$A:$A,0))))</f>
        <v/>
      </c>
      <c r="F267" s="4" t="n">
        <v>0</v>
      </c>
      <c r="G267" s="5">
        <f>IF(COUNTIF('同比基准(2025年7月)'!$A:$A,A267)=0,"新增",IF(INDEX('同比基准(2025年7月)'!$C:$C,MATCH(A267,'同比基准(2025年7月)'!$A:$A,0))=0,"",(F267-INDEX('同比基准(2025年7月)'!$C:$C,MATCH(A267,'同比基准(2025年7月)'!$A:$A,0)))/INDEX('同比基准(2025年7月)'!$C:$C,MATCH(A267,'同比基准(2025年7月)'!$A:$A,0))))</f>
        <v/>
      </c>
    </row>
    <row r="268">
      <c r="A268" s="2" t="inlineStr">
        <is>
          <t>蔚来</t>
        </is>
      </c>
      <c r="B268" s="3" t="inlineStr">
        <is>
          <t>服务</t>
        </is>
      </c>
      <c r="C268" s="3" t="inlineStr">
        <is>
          <t>配套设施</t>
        </is>
      </c>
      <c r="D268" s="4" t="n">
        <v>0</v>
      </c>
      <c r="E268" s="5">
        <f>IF(COUNTIF('同比基准(2025年7月)'!$A:$A,A268)=0,"新增",IF(INDEX('同比基准(2025年7月)'!$B:$B,MATCH(A268,'同比基准(2025年7月)'!$A:$A,0))=0,"",(D268-INDEX('同比基准(2025年7月)'!$B:$B,MATCH(A268,'同比基准(2025年7月)'!$A:$A,0)))/INDEX('同比基准(2025年7月)'!$B:$B,MATCH(A268,'同比基准(2025年7月)'!$A:$A,0))))</f>
        <v/>
      </c>
      <c r="F268" s="4" t="n">
        <v>0</v>
      </c>
      <c r="G268" s="5">
        <f>IF(COUNTIF('同比基准(2025年7月)'!$A:$A,A268)=0,"新增",IF(INDEX('同比基准(2025年7月)'!$C:$C,MATCH(A268,'同比基准(2025年7月)'!$A:$A,0))=0,"",(F268-INDEX('同比基准(2025年7月)'!$C:$C,MATCH(A268,'同比基准(2025年7月)'!$A:$A,0)))/INDEX('同比基准(2025年7月)'!$C:$C,MATCH(A268,'同比基准(2025年7月)'!$A:$A,0))))</f>
        <v/>
      </c>
    </row>
    <row r="269">
      <c r="A269" s="6" t="inlineStr">
        <is>
          <t>合计</t>
        </is>
      </c>
      <c r="B269" s="6" t="inlineStr"/>
      <c r="C269" s="6" t="inlineStr"/>
      <c r="D269" s="7">
        <f>SUM(D2:D268)</f>
        <v/>
      </c>
      <c r="E269" s="8">
        <f>IFERROR((D269-'同比基准(2025年7月)'!$F$2)/'同比基准(2025年7月)'!$F$2,"")</f>
        <v/>
      </c>
      <c r="F269" s="7">
        <f>SUM(F2:F268)</f>
        <v/>
      </c>
      <c r="G269" s="8">
        <f>IFERROR((F269-'同比基准(2025年7月)'!$G$2)/'同比基准(2025年7月)'!$G$2,"")</f>
        <v/>
      </c>
    </row>
  </sheetData>
  <autoFilter ref="A1:G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0" customWidth="1" min="5" max="5"/>
    <col width="20" customWidth="1" min="6" max="6"/>
    <col width="20" customWidth="1" min="7" max="7"/>
  </cols>
  <sheetData>
    <row r="1">
      <c r="A1" s="9" t="inlineStr">
        <is>
          <t>品牌</t>
        </is>
      </c>
      <c r="B1" s="9" t="inlineStr">
        <is>
          <t>2025年7月营业额</t>
        </is>
      </c>
      <c r="C1" s="9" t="inlineStr">
        <is>
          <t>2025年7月抽成</t>
        </is>
      </c>
      <c r="E1" s="9" t="inlineStr">
        <is>
          <t>全口径(含已撤场品牌)</t>
        </is>
      </c>
      <c r="F1" s="9" t="inlineStr">
        <is>
          <t>营业额</t>
        </is>
      </c>
      <c r="G1" s="9" t="inlineStr">
        <is>
          <t>抽成</t>
        </is>
      </c>
    </row>
    <row r="2">
      <c r="A2" s="10" t="inlineStr">
        <is>
          <t>永辉超市</t>
        </is>
      </c>
      <c r="B2" s="10" t="n">
        <v>6458800</v>
      </c>
      <c r="C2" s="10" t="n">
        <v>0</v>
      </c>
      <c r="E2" t="inlineStr">
        <is>
          <t>2025年7月</t>
        </is>
      </c>
      <c r="F2" s="10" t="n">
        <v>103263587.9</v>
      </c>
      <c r="G2" s="10" t="n">
        <v>577288.97</v>
      </c>
    </row>
    <row r="3">
      <c r="A3" s="10" t="inlineStr">
        <is>
          <t>周大福荟馆</t>
        </is>
      </c>
      <c r="B3" s="10" t="n">
        <v>954027.15</v>
      </c>
      <c r="C3" s="10" t="n">
        <v>0</v>
      </c>
    </row>
    <row r="4">
      <c r="A4" s="10" t="inlineStr">
        <is>
          <t>华为</t>
        </is>
      </c>
      <c r="B4" s="10" t="n">
        <v>3976559.6</v>
      </c>
      <c r="C4" s="10" t="n">
        <v>0</v>
      </c>
    </row>
    <row r="5">
      <c r="A5" s="10" t="inlineStr">
        <is>
          <t>优衣库(UNIQLO)</t>
        </is>
      </c>
      <c r="B5" s="10" t="n">
        <v>2001321.83</v>
      </c>
      <c r="C5" s="10" t="n">
        <v>98931.94</v>
      </c>
    </row>
    <row r="6">
      <c r="A6" s="10" t="inlineStr">
        <is>
          <t>谢瑞麟</t>
        </is>
      </c>
      <c r="B6" s="10" t="n">
        <v>820505.02</v>
      </c>
      <c r="C6" s="10" t="n">
        <v>0</v>
      </c>
    </row>
    <row r="7">
      <c r="A7" s="10" t="inlineStr">
        <is>
          <t>爱回收</t>
        </is>
      </c>
      <c r="B7" s="10" t="n">
        <v>146837.9</v>
      </c>
      <c r="C7" s="10" t="n">
        <v>0</v>
      </c>
    </row>
    <row r="8">
      <c r="A8" s="10" t="inlineStr">
        <is>
          <t>一绪に寿喜烧</t>
        </is>
      </c>
      <c r="B8" s="10" t="n">
        <v>1722981.52</v>
      </c>
      <c r="C8" s="10" t="n">
        <v>0</v>
      </c>
    </row>
    <row r="9">
      <c r="A9" s="10" t="inlineStr">
        <is>
          <t>新发现</t>
        </is>
      </c>
      <c r="B9" s="10" t="n">
        <v>1615819.08</v>
      </c>
      <c r="C9" s="10" t="n">
        <v>29982.15</v>
      </c>
    </row>
    <row r="10">
      <c r="A10" s="10" t="inlineStr">
        <is>
          <t>钱炙</t>
        </is>
      </c>
      <c r="B10" s="10" t="n">
        <v>1513265.55</v>
      </c>
      <c r="C10" s="10" t="n">
        <v>0</v>
      </c>
    </row>
    <row r="11">
      <c r="A11" s="10" t="inlineStr">
        <is>
          <t>山缓缓</t>
        </is>
      </c>
      <c r="B11" s="10" t="n">
        <v>0</v>
      </c>
      <c r="C11" s="10" t="n">
        <v>0</v>
      </c>
    </row>
    <row r="12">
      <c r="A12" s="10" t="inlineStr">
        <is>
          <t>大疆</t>
        </is>
      </c>
      <c r="B12" s="10" t="n">
        <v>0</v>
      </c>
      <c r="C12" s="10" t="n">
        <v>0</v>
      </c>
    </row>
    <row r="13">
      <c r="A13" s="10" t="inlineStr">
        <is>
          <t>源氏木语</t>
        </is>
      </c>
      <c r="B13" s="10" t="n">
        <v>800013.46</v>
      </c>
      <c r="C13" s="10" t="n">
        <v>0</v>
      </c>
    </row>
    <row r="14">
      <c r="A14" s="10" t="inlineStr">
        <is>
          <t>几勺</t>
        </is>
      </c>
      <c r="B14" s="10" t="n">
        <v>0</v>
      </c>
      <c r="C14" s="10" t="n">
        <v>0</v>
      </c>
    </row>
    <row r="15">
      <c r="A15" s="10" t="inlineStr">
        <is>
          <t>费大厨</t>
        </is>
      </c>
      <c r="B15" s="10" t="n">
        <v>1214703.8</v>
      </c>
      <c r="C15" s="10" t="n">
        <v>0</v>
      </c>
    </row>
    <row r="16">
      <c r="A16" s="10" t="inlineStr">
        <is>
          <t>无印良品</t>
        </is>
      </c>
      <c r="B16" s="10" t="n">
        <v>964815.6</v>
      </c>
      <c r="C16" s="10" t="n">
        <v>62930.74</v>
      </c>
    </row>
    <row r="17">
      <c r="A17" s="10" t="inlineStr">
        <is>
          <t>小米之家</t>
        </is>
      </c>
      <c r="B17" s="10" t="n">
        <v>1566705.89</v>
      </c>
      <c r="C17" s="10" t="n">
        <v>0</v>
      </c>
    </row>
    <row r="18">
      <c r="A18" s="10" t="inlineStr">
        <is>
          <t>转转</t>
        </is>
      </c>
      <c r="B18" s="10" t="n">
        <v>0</v>
      </c>
      <c r="C18" s="10" t="n">
        <v>0</v>
      </c>
    </row>
    <row r="19">
      <c r="A19" s="10" t="inlineStr">
        <is>
          <t>左庭右院</t>
        </is>
      </c>
      <c r="B19" s="10" t="n">
        <v>1134214.96</v>
      </c>
      <c r="C19" s="10" t="n">
        <v>41805.71</v>
      </c>
    </row>
    <row r="20">
      <c r="A20" s="10" t="inlineStr">
        <is>
          <t>幸福蓝海(OMNIJOI)</t>
        </is>
      </c>
      <c r="B20" s="10" t="n">
        <v>1286711.06</v>
      </c>
      <c r="C20" s="10" t="n">
        <v>0</v>
      </c>
    </row>
    <row r="21">
      <c r="A21" s="10" t="inlineStr">
        <is>
          <t>西塔老太太(xitalaotaitai)</t>
        </is>
      </c>
      <c r="B21" s="10" t="n">
        <v>1210945.75</v>
      </c>
      <c r="C21" s="10" t="n">
        <v>5403.19</v>
      </c>
    </row>
    <row r="22">
      <c r="A22" s="10" t="inlineStr">
        <is>
          <t>亚一</t>
        </is>
      </c>
      <c r="B22" s="10" t="n">
        <v>443562</v>
      </c>
      <c r="C22" s="10" t="n">
        <v>0</v>
      </c>
    </row>
    <row r="23">
      <c r="A23" s="10" t="inlineStr">
        <is>
          <t>老庙</t>
        </is>
      </c>
      <c r="B23" s="10" t="n">
        <v>651923.2</v>
      </c>
      <c r="C23" s="10" t="n">
        <v>0</v>
      </c>
    </row>
    <row r="24">
      <c r="A24" s="10" t="inlineStr">
        <is>
          <t>泡泡玛特</t>
        </is>
      </c>
      <c r="B24" s="10" t="n">
        <v>979485</v>
      </c>
      <c r="C24" s="10" t="n">
        <v>46085.93</v>
      </c>
    </row>
    <row r="25">
      <c r="A25" s="10" t="inlineStr">
        <is>
          <t>Dream Room</t>
        </is>
      </c>
      <c r="B25" s="10" t="n">
        <v>1825700.22</v>
      </c>
      <c r="C25" s="10" t="n">
        <v>0</v>
      </c>
    </row>
    <row r="26">
      <c r="A26" s="10" t="inlineStr">
        <is>
          <t>麦当劳(McDonalds)</t>
        </is>
      </c>
      <c r="B26" s="10" t="n">
        <v>1006533</v>
      </c>
      <c r="C26" s="10" t="n">
        <v>0</v>
      </c>
    </row>
    <row r="27">
      <c r="A27" s="10" t="inlineStr">
        <is>
          <t>小菜园</t>
        </is>
      </c>
      <c r="B27" s="10" t="n">
        <v>1176078.68</v>
      </c>
      <c r="C27" s="10" t="n">
        <v>1394.94</v>
      </c>
    </row>
    <row r="28">
      <c r="A28" s="10" t="inlineStr">
        <is>
          <t>肯德基</t>
        </is>
      </c>
      <c r="B28" s="10" t="n">
        <v>1109537.36</v>
      </c>
      <c r="C28" s="10" t="n">
        <v>0</v>
      </c>
    </row>
    <row r="29">
      <c r="A29" s="10" t="inlineStr">
        <is>
          <t>老凤祥藏宝金</t>
        </is>
      </c>
      <c r="B29" s="10" t="n">
        <v>0</v>
      </c>
      <c r="C29" s="10" t="n">
        <v>0</v>
      </c>
    </row>
    <row r="30">
      <c r="A30" s="10" t="inlineStr">
        <is>
          <t>大米先生</t>
        </is>
      </c>
      <c r="B30" s="10" t="n">
        <v>478543.63</v>
      </c>
      <c r="C30" s="10" t="n">
        <v>0</v>
      </c>
    </row>
    <row r="31">
      <c r="A31" s="10" t="inlineStr">
        <is>
          <t>爱婴室</t>
        </is>
      </c>
      <c r="B31" s="10" t="n">
        <v>0</v>
      </c>
      <c r="C31" s="10" t="n">
        <v>0</v>
      </c>
    </row>
    <row r="32">
      <c r="A32" s="10" t="inlineStr">
        <is>
          <t>潮宏基</t>
        </is>
      </c>
      <c r="B32" s="10" t="n">
        <v>500115.67</v>
      </c>
      <c r="C32" s="10" t="n">
        <v>0</v>
      </c>
    </row>
    <row r="33">
      <c r="A33" s="10" t="inlineStr">
        <is>
          <t>萨莉亚(Saizeriya RISTORANTE E CAFFÈ)</t>
        </is>
      </c>
      <c r="B33" s="10" t="n">
        <v>908257</v>
      </c>
      <c r="C33" s="10" t="n">
        <v>0</v>
      </c>
    </row>
    <row r="34">
      <c r="A34" s="10" t="inlineStr">
        <is>
          <t>桂满陇</t>
        </is>
      </c>
      <c r="B34" s="10" t="n">
        <v>1166078.67</v>
      </c>
      <c r="C34" s="10" t="n">
        <v>2098.27</v>
      </c>
    </row>
    <row r="35">
      <c r="A35" s="10" t="inlineStr">
        <is>
          <t>潮界</t>
        </is>
      </c>
      <c r="B35" s="10" t="n">
        <v>1019218.16</v>
      </c>
      <c r="C35" s="10" t="n">
        <v>0</v>
      </c>
    </row>
    <row r="36">
      <c r="A36" s="10" t="inlineStr">
        <is>
          <t>同合居</t>
        </is>
      </c>
      <c r="B36" s="10" t="n">
        <v>0</v>
      </c>
      <c r="C36" s="10" t="n">
        <v>0</v>
      </c>
    </row>
    <row r="37">
      <c r="A37" s="10" t="inlineStr">
        <is>
          <t>柳真真</t>
        </is>
      </c>
      <c r="B37" s="10" t="n">
        <v>0</v>
      </c>
      <c r="C37" s="10" t="n">
        <v>0</v>
      </c>
    </row>
    <row r="38">
      <c r="A38" s="10" t="inlineStr">
        <is>
          <t>中国体育彩票</t>
        </is>
      </c>
      <c r="B38" s="10" t="n">
        <v>616279.52</v>
      </c>
      <c r="C38" s="10" t="n">
        <v>0</v>
      </c>
    </row>
    <row r="39">
      <c r="A39" s="10" t="inlineStr">
        <is>
          <t>vivo</t>
        </is>
      </c>
      <c r="B39" s="10" t="n">
        <v>959637.59</v>
      </c>
      <c r="C39" s="10" t="n">
        <v>0</v>
      </c>
    </row>
    <row r="40">
      <c r="A40" s="10" t="inlineStr">
        <is>
          <t>眉州东坡</t>
        </is>
      </c>
      <c r="B40" s="10" t="n">
        <v>1256992.97</v>
      </c>
      <c r="C40" s="10" t="n">
        <v>22982.41</v>
      </c>
    </row>
    <row r="41">
      <c r="A41" s="10" t="inlineStr">
        <is>
          <t>六福精品廊</t>
        </is>
      </c>
      <c r="B41" s="10" t="n">
        <v>675999</v>
      </c>
      <c r="C41" s="10" t="n">
        <v>0</v>
      </c>
    </row>
    <row r="42">
      <c r="A42" s="10" t="inlineStr">
        <is>
          <t>新陆小苑</t>
        </is>
      </c>
      <c r="B42" s="10" t="n">
        <v>0</v>
      </c>
      <c r="C42" s="10" t="n">
        <v>0</v>
      </c>
    </row>
    <row r="43">
      <c r="A43" s="10" t="inlineStr">
        <is>
          <t>周六福</t>
        </is>
      </c>
      <c r="B43" s="10" t="n">
        <v>0</v>
      </c>
      <c r="C43" s="10" t="n">
        <v>0</v>
      </c>
    </row>
    <row r="44">
      <c r="A44" s="10" t="inlineStr">
        <is>
          <t>爭鮮(SUSHI EXPRESS)</t>
        </is>
      </c>
      <c r="B44" s="10" t="n">
        <v>451547.75</v>
      </c>
      <c r="C44" s="10" t="n">
        <v>0</v>
      </c>
    </row>
    <row r="45">
      <c r="A45" s="10" t="inlineStr">
        <is>
          <t>HOT MAXX</t>
        </is>
      </c>
      <c r="B45" s="10" t="n">
        <v>775098.6899999999</v>
      </c>
      <c r="C45" s="10" t="n">
        <v>0</v>
      </c>
    </row>
    <row r="46">
      <c r="A46" s="10" t="inlineStr">
        <is>
          <t>小杨生煎</t>
        </is>
      </c>
      <c r="B46" s="10" t="n">
        <v>707936.83</v>
      </c>
      <c r="C46" s="10" t="n">
        <v>42454.47</v>
      </c>
    </row>
    <row r="47">
      <c r="A47" s="10" t="inlineStr">
        <is>
          <t>厚贞</t>
        </is>
      </c>
      <c r="B47" s="10" t="n">
        <v>718347.41</v>
      </c>
      <c r="C47" s="10" t="n">
        <v>0</v>
      </c>
    </row>
    <row r="48">
      <c r="A48" s="10" t="inlineStr">
        <is>
          <t>baker bleu</t>
        </is>
      </c>
      <c r="B48" s="10" t="n">
        <v>0</v>
      </c>
      <c r="C48" s="10" t="n">
        <v>0</v>
      </c>
    </row>
    <row r="49">
      <c r="A49" s="10" t="inlineStr">
        <is>
          <t>中国黄金</t>
        </is>
      </c>
      <c r="B49" s="10" t="n">
        <v>0</v>
      </c>
      <c r="C49" s="10" t="n">
        <v>0</v>
      </c>
    </row>
    <row r="50">
      <c r="A50" s="10" t="inlineStr">
        <is>
          <t>丝芙兰(SEPHORA)</t>
        </is>
      </c>
      <c r="B50" s="10" t="n">
        <v>627575.59</v>
      </c>
      <c r="C50" s="10" t="n">
        <v>39458.54</v>
      </c>
    </row>
    <row r="51">
      <c r="A51" s="10" t="inlineStr">
        <is>
          <t>瑞思少儿中心(Rise)</t>
        </is>
      </c>
      <c r="B51" s="10" t="n">
        <v>825204</v>
      </c>
      <c r="C51" s="10" t="n">
        <v>0</v>
      </c>
    </row>
    <row r="52">
      <c r="A52" s="10" t="inlineStr">
        <is>
          <t>卡通尼乐园</t>
        </is>
      </c>
      <c r="B52" s="10" t="n">
        <v>816734</v>
      </c>
      <c r="C52" s="10" t="n">
        <v>0</v>
      </c>
    </row>
    <row r="53">
      <c r="A53" s="10" t="inlineStr">
        <is>
          <t>Drunk baker</t>
        </is>
      </c>
      <c r="B53" s="10" t="n">
        <v>0</v>
      </c>
      <c r="C53" s="10" t="n">
        <v>0</v>
      </c>
    </row>
    <row r="54">
      <c r="A54" s="10" t="inlineStr">
        <is>
          <t>周生生</t>
        </is>
      </c>
      <c r="B54" s="10" t="n">
        <v>1041516</v>
      </c>
      <c r="C54" s="10" t="n">
        <v>0</v>
      </c>
    </row>
    <row r="55">
      <c r="A55" s="10" t="inlineStr">
        <is>
          <t>OPPO</t>
        </is>
      </c>
      <c r="B55" s="10" t="n">
        <v>799384.87</v>
      </c>
      <c r="C55" s="10" t="n">
        <v>0</v>
      </c>
    </row>
    <row r="56">
      <c r="A56" s="10" t="inlineStr">
        <is>
          <t>荣耀</t>
        </is>
      </c>
      <c r="B56" s="10" t="n">
        <v>1353815.71</v>
      </c>
      <c r="C56" s="10" t="n">
        <v>0</v>
      </c>
    </row>
    <row r="57">
      <c r="A57" s="10" t="inlineStr">
        <is>
          <t>名创优品</t>
        </is>
      </c>
      <c r="B57" s="10" t="n">
        <v>0</v>
      </c>
      <c r="C57" s="10" t="n">
        <v>0</v>
      </c>
    </row>
    <row r="58">
      <c r="A58" s="10" t="inlineStr">
        <is>
          <t>江边城外烤全鱼(JIANG BIAN CHENG WAI)</t>
        </is>
      </c>
      <c r="B58" s="10" t="n">
        <v>607962.4</v>
      </c>
      <c r="C58" s="10" t="n">
        <v>0</v>
      </c>
    </row>
    <row r="59">
      <c r="A59" s="10" t="inlineStr">
        <is>
          <t>太二</t>
        </is>
      </c>
      <c r="B59" s="10" t="n">
        <v>634221.29</v>
      </c>
      <c r="C59" s="10" t="n">
        <v>0</v>
      </c>
    </row>
    <row r="60">
      <c r="A60" s="10" t="inlineStr">
        <is>
          <t>捞王</t>
        </is>
      </c>
      <c r="B60" s="10" t="n">
        <v>688148.26</v>
      </c>
      <c r="C60" s="10" t="n">
        <v>0</v>
      </c>
    </row>
    <row r="61">
      <c r="A61" s="10" t="inlineStr">
        <is>
          <t>西贝莜面村</t>
        </is>
      </c>
      <c r="B61" s="10" t="n">
        <v>1245232.05</v>
      </c>
      <c r="C61" s="10" t="n">
        <v>20386.63</v>
      </c>
    </row>
    <row r="62">
      <c r="A62" s="10" t="inlineStr">
        <is>
          <t>祐禾</t>
        </is>
      </c>
      <c r="B62" s="10" t="n">
        <v>996819.9300000001</v>
      </c>
      <c r="C62" s="10" t="n">
        <v>0</v>
      </c>
    </row>
    <row r="63">
      <c r="A63" s="10" t="inlineStr">
        <is>
          <t>京宸里</t>
        </is>
      </c>
      <c r="B63" s="10" t="n">
        <v>0</v>
      </c>
      <c r="C63" s="10" t="n">
        <v>0</v>
      </c>
    </row>
    <row r="64">
      <c r="A64" s="10" t="inlineStr">
        <is>
          <t>六福珠宝</t>
        </is>
      </c>
      <c r="B64" s="10" t="n">
        <v>733445</v>
      </c>
      <c r="C64" s="10" t="n">
        <v>0</v>
      </c>
    </row>
    <row r="65">
      <c r="A65" s="10" t="inlineStr">
        <is>
          <t>木屋烧烤</t>
        </is>
      </c>
      <c r="B65" s="10" t="n">
        <v>443938.88</v>
      </c>
      <c r="C65" s="10" t="n">
        <v>0</v>
      </c>
    </row>
    <row r="66">
      <c r="A66" s="10" t="inlineStr">
        <is>
          <t>联想</t>
        </is>
      </c>
      <c r="B66" s="10" t="n">
        <v>0</v>
      </c>
      <c r="C66" s="10" t="n">
        <v>0</v>
      </c>
    </row>
    <row r="67">
      <c r="A67" s="10" t="inlineStr">
        <is>
          <t>潮金</t>
        </is>
      </c>
      <c r="B67" s="10" t="n">
        <v>0</v>
      </c>
      <c r="C67" s="10" t="n">
        <v>0</v>
      </c>
    </row>
    <row r="68">
      <c r="A68" s="10" t="inlineStr">
        <is>
          <t>中国黄金(China Gold)</t>
        </is>
      </c>
      <c r="B68" s="10" t="n">
        <v>447767</v>
      </c>
      <c r="C68" s="10" t="n">
        <v>0</v>
      </c>
    </row>
    <row r="69">
      <c r="A69" s="10" t="inlineStr">
        <is>
          <t>詹记(ZANKEE)</t>
        </is>
      </c>
      <c r="B69" s="10" t="n">
        <v>539136.95</v>
      </c>
      <c r="C69" s="10" t="n">
        <v>0</v>
      </c>
    </row>
    <row r="70">
      <c r="A70" s="10" t="inlineStr">
        <is>
          <t>霸王茶姬</t>
        </is>
      </c>
      <c r="B70" s="10" t="n">
        <v>628723.3199999999</v>
      </c>
      <c r="C70" s="10" t="n">
        <v>5893.94</v>
      </c>
    </row>
    <row r="71">
      <c r="A71" s="10" t="inlineStr">
        <is>
          <t>老乡鸡</t>
        </is>
      </c>
      <c r="B71" s="10" t="n">
        <v>783364.9300000001</v>
      </c>
      <c r="C71" s="10" t="n">
        <v>29552.64</v>
      </c>
    </row>
    <row r="72">
      <c r="A72" s="10" t="inlineStr">
        <is>
          <t>滩外滩小馆</t>
        </is>
      </c>
      <c r="B72" s="10" t="n">
        <v>674710</v>
      </c>
      <c r="C72" s="10" t="n">
        <v>0</v>
      </c>
    </row>
    <row r="73">
      <c r="A73" s="10" t="inlineStr">
        <is>
          <t>影石</t>
        </is>
      </c>
      <c r="B73" s="10" t="n">
        <v>0</v>
      </c>
      <c r="C73" s="10" t="n">
        <v>0</v>
      </c>
    </row>
    <row r="74">
      <c r="A74" s="10" t="inlineStr">
        <is>
          <t>小满手工粉</t>
        </is>
      </c>
      <c r="B74" s="10" t="n">
        <v>0</v>
      </c>
      <c r="C74" s="10" t="n">
        <v>0</v>
      </c>
    </row>
    <row r="75">
      <c r="A75" s="10" t="inlineStr">
        <is>
          <t>王奋斗</t>
        </is>
      </c>
      <c r="B75" s="10" t="n">
        <v>645788.53</v>
      </c>
      <c r="C75" s="10" t="n">
        <v>0</v>
      </c>
    </row>
    <row r="76">
      <c r="A76" s="10" t="inlineStr">
        <is>
          <t>唛歌(MAGO)</t>
        </is>
      </c>
      <c r="B76" s="10" t="n">
        <v>475615</v>
      </c>
      <c r="C76" s="10" t="n">
        <v>0</v>
      </c>
    </row>
    <row r="77">
      <c r="A77" s="10" t="inlineStr">
        <is>
          <t>巡湘记</t>
        </is>
      </c>
      <c r="B77" s="10" t="n">
        <v>548326.62</v>
      </c>
      <c r="C77" s="10" t="n">
        <v>0</v>
      </c>
    </row>
    <row r="78">
      <c r="A78" s="10" t="inlineStr">
        <is>
          <t>中国福利彩票</t>
        </is>
      </c>
      <c r="B78" s="10" t="n">
        <v>767192</v>
      </c>
      <c r="C78" s="10" t="n">
        <v>0</v>
      </c>
    </row>
    <row r="79">
      <c r="A79" s="10" t="inlineStr">
        <is>
          <t>铁岛铁板烧</t>
        </is>
      </c>
      <c r="B79" s="10" t="n">
        <v>378845.8</v>
      </c>
      <c r="C79" s="10" t="n">
        <v>0</v>
      </c>
    </row>
    <row r="80">
      <c r="A80" s="10" t="inlineStr">
        <is>
          <t>KKV</t>
        </is>
      </c>
      <c r="B80" s="10" t="n">
        <v>0</v>
      </c>
      <c r="C80" s="10" t="n">
        <v>0</v>
      </c>
    </row>
    <row r="81">
      <c r="A81" s="10" t="inlineStr">
        <is>
          <t>Teennspace</t>
        </is>
      </c>
      <c r="B81" s="10" t="n">
        <v>147730</v>
      </c>
      <c r="C81" s="10" t="n">
        <v>0</v>
      </c>
    </row>
    <row r="82">
      <c r="A82" s="10" t="inlineStr">
        <is>
          <t>你六姐</t>
        </is>
      </c>
      <c r="B82" s="10" t="n">
        <v>389635.01</v>
      </c>
      <c r="C82" s="10" t="n">
        <v>0</v>
      </c>
    </row>
    <row r="83">
      <c r="A83" s="10" t="inlineStr">
        <is>
          <t>云潇潇</t>
        </is>
      </c>
      <c r="B83" s="10" t="n">
        <v>883728.3100000001</v>
      </c>
      <c r="C83" s="10" t="n">
        <v>0</v>
      </c>
    </row>
    <row r="84">
      <c r="A84" s="10" t="inlineStr">
        <is>
          <t>谷田稻香</t>
        </is>
      </c>
      <c r="B84" s="10" t="n">
        <v>0</v>
      </c>
      <c r="C84" s="10" t="n">
        <v>0</v>
      </c>
    </row>
    <row r="85">
      <c r="A85" s="10" t="inlineStr">
        <is>
          <t>陈香贵</t>
        </is>
      </c>
      <c r="B85" s="10" t="n">
        <v>594596.64</v>
      </c>
      <c r="C85" s="10" t="n">
        <v>7138.99</v>
      </c>
    </row>
    <row r="86">
      <c r="A86" s="10" t="inlineStr">
        <is>
          <t>PE Salon</t>
        </is>
      </c>
      <c r="B86" s="10" t="n">
        <v>271586</v>
      </c>
      <c r="C86" s="10" t="n">
        <v>0</v>
      </c>
    </row>
    <row r="87">
      <c r="A87" s="10" t="inlineStr">
        <is>
          <t>布歌</t>
        </is>
      </c>
      <c r="B87" s="10" t="n">
        <v>402836.9</v>
      </c>
      <c r="C87" s="10" t="n">
        <v>20312.06</v>
      </c>
    </row>
    <row r="88">
      <c r="A88" s="10" t="inlineStr">
        <is>
          <t>Wagas</t>
        </is>
      </c>
      <c r="B88" s="10" t="n">
        <v>371623.44</v>
      </c>
      <c r="C88" s="10" t="n">
        <v>0</v>
      </c>
    </row>
    <row r="89">
      <c r="A89" s="10" t="inlineStr">
        <is>
          <t>裕莲茶楼</t>
        </is>
      </c>
      <c r="B89" s="10" t="n">
        <v>351146.14</v>
      </c>
      <c r="C89" s="10" t="n">
        <v>0</v>
      </c>
    </row>
    <row r="90">
      <c r="A90" s="10" t="inlineStr">
        <is>
          <t>热风</t>
        </is>
      </c>
      <c r="B90" s="10" t="n">
        <v>0</v>
      </c>
      <c r="C90" s="10" t="n">
        <v>0</v>
      </c>
    </row>
    <row r="91">
      <c r="A91" s="10" t="inlineStr">
        <is>
          <t>芸山季</t>
        </is>
      </c>
      <c r="B91" s="10" t="n">
        <v>0</v>
      </c>
      <c r="C91" s="10" t="n">
        <v>0</v>
      </c>
    </row>
    <row r="92">
      <c r="A92" s="10" t="inlineStr">
        <is>
          <t>天空の城动漫电玩世界</t>
        </is>
      </c>
      <c r="B92" s="10" t="n">
        <v>614546.2</v>
      </c>
      <c r="C92" s="10" t="n">
        <v>0</v>
      </c>
    </row>
    <row r="93">
      <c r="A93" s="10" t="inlineStr">
        <is>
          <t>秦䩊会</t>
        </is>
      </c>
      <c r="B93" s="10" t="n">
        <v>584511.76</v>
      </c>
      <c r="C93" s="10" t="n">
        <v>11680.84</v>
      </c>
    </row>
    <row r="94">
      <c r="A94" s="10" t="inlineStr">
        <is>
          <t>半天妖</t>
        </is>
      </c>
      <c r="B94" s="10" t="n">
        <v>351388.33</v>
      </c>
      <c r="C94" s="10" t="n">
        <v>0</v>
      </c>
    </row>
    <row r="95">
      <c r="A95" s="10" t="inlineStr">
        <is>
          <t>星巴克(STARBUCKS)</t>
        </is>
      </c>
      <c r="B95" s="10" t="n">
        <v>357821.35</v>
      </c>
      <c r="C95" s="10" t="n">
        <v>3076.81</v>
      </c>
    </row>
    <row r="96">
      <c r="A96" s="10" t="inlineStr">
        <is>
          <t>胡子大厨超级小炒肉</t>
        </is>
      </c>
      <c r="B96" s="10" t="n">
        <v>511574.12</v>
      </c>
      <c r="C96" s="10" t="n">
        <v>1178.76</v>
      </c>
    </row>
    <row r="97">
      <c r="A97" s="10" t="inlineStr">
        <is>
          <t>HERERS</t>
        </is>
      </c>
      <c r="B97" s="10" t="n">
        <v>0</v>
      </c>
      <c r="C97" s="10" t="n">
        <v>0</v>
      </c>
    </row>
    <row r="98">
      <c r="A98" s="10" t="inlineStr">
        <is>
          <t>麦檬</t>
        </is>
      </c>
      <c r="B98" s="10" t="n">
        <v>0</v>
      </c>
      <c r="C98" s="10" t="n">
        <v>0</v>
      </c>
    </row>
    <row r="99">
      <c r="A99" s="10" t="inlineStr">
        <is>
          <t>玛嘉烈</t>
        </is>
      </c>
      <c r="B99" s="10" t="n">
        <v>383213.87</v>
      </c>
      <c r="C99" s="10" t="n">
        <v>0</v>
      </c>
    </row>
    <row r="100">
      <c r="A100" s="10" t="inlineStr">
        <is>
          <t>剪花娘子</t>
        </is>
      </c>
      <c r="B100" s="10" t="n">
        <v>22548.96</v>
      </c>
      <c r="C100" s="10" t="n">
        <v>0</v>
      </c>
    </row>
    <row r="101">
      <c r="A101" s="10" t="inlineStr">
        <is>
          <t>SALOMON</t>
        </is>
      </c>
      <c r="B101" s="10" t="n">
        <v>0</v>
      </c>
      <c r="C101" s="10" t="n">
        <v>0</v>
      </c>
    </row>
    <row r="102">
      <c r="A102" s="10" t="inlineStr">
        <is>
          <t>肥汁米蘭(FEIZAP MAILAAN)</t>
        </is>
      </c>
      <c r="B102" s="10" t="n">
        <v>316600.08</v>
      </c>
      <c r="C102" s="10" t="n">
        <v>0</v>
      </c>
    </row>
    <row r="103">
      <c r="A103" s="10" t="inlineStr">
        <is>
          <t>FILA</t>
        </is>
      </c>
      <c r="B103" s="10" t="n">
        <v>294393</v>
      </c>
      <c r="C103" s="10" t="n">
        <v>0</v>
      </c>
    </row>
    <row r="104">
      <c r="A104" s="10" t="inlineStr">
        <is>
          <t>红渡小香</t>
        </is>
      </c>
      <c r="B104" s="10" t="n">
        <v>279516.71</v>
      </c>
      <c r="C104" s="10" t="n">
        <v>0</v>
      </c>
    </row>
    <row r="105">
      <c r="A105" s="10" t="inlineStr">
        <is>
          <t>鸟贵族</t>
        </is>
      </c>
      <c r="B105" s="10" t="n">
        <v>0</v>
      </c>
      <c r="C105" s="10" t="n">
        <v>0</v>
      </c>
    </row>
    <row r="106">
      <c r="A106" s="10" t="inlineStr">
        <is>
          <t>LOOK眼镜</t>
        </is>
      </c>
      <c r="B106" s="10" t="n">
        <v>351383.06</v>
      </c>
      <c r="C106" s="10" t="n">
        <v>0</v>
      </c>
    </row>
    <row r="107">
      <c r="A107" s="10" t="inlineStr">
        <is>
          <t>The Green Party</t>
        </is>
      </c>
      <c r="B107" s="10" t="n">
        <v>534882.34</v>
      </c>
      <c r="C107" s="10" t="n">
        <v>0</v>
      </c>
    </row>
    <row r="108">
      <c r="A108" s="10" t="inlineStr">
        <is>
          <t>矢量咖啡,西西弗</t>
        </is>
      </c>
      <c r="B108" s="10" t="n">
        <v>0</v>
      </c>
      <c r="C108" s="10" t="n">
        <v>0</v>
      </c>
    </row>
    <row r="109">
      <c r="A109" s="10" t="inlineStr">
        <is>
          <t>manner</t>
        </is>
      </c>
      <c r="B109" s="10" t="n">
        <v>0</v>
      </c>
      <c r="C109" s="10" t="n">
        <v>0</v>
      </c>
    </row>
    <row r="110">
      <c r="A110" s="10" t="inlineStr">
        <is>
          <t>宝岛眼镜</t>
        </is>
      </c>
      <c r="B110" s="10" t="n">
        <v>313564.1</v>
      </c>
      <c r="C110" s="10" t="n">
        <v>0</v>
      </c>
    </row>
    <row r="111">
      <c r="A111" s="10" t="inlineStr">
        <is>
          <t>艾诺丝雅诗</t>
        </is>
      </c>
      <c r="B111" s="10" t="n">
        <v>339228</v>
      </c>
      <c r="C111" s="10" t="n">
        <v>4824.47</v>
      </c>
    </row>
    <row r="112">
      <c r="A112" s="10" t="inlineStr">
        <is>
          <t>MONOLOGUE</t>
        </is>
      </c>
      <c r="B112" s="10" t="n">
        <v>158867</v>
      </c>
      <c r="C112" s="10" t="n">
        <v>0</v>
      </c>
    </row>
    <row r="113">
      <c r="A113" s="10" t="inlineStr">
        <is>
          <t>麦记牛</t>
        </is>
      </c>
      <c r="B113" s="10" t="n">
        <v>335801.34</v>
      </c>
      <c r="C113" s="10" t="n">
        <v>0</v>
      </c>
    </row>
    <row r="114">
      <c r="A114" s="10" t="inlineStr">
        <is>
          <t>了岚</t>
        </is>
      </c>
      <c r="B114" s="10" t="n">
        <v>264713.6</v>
      </c>
      <c r="C114" s="10" t="n">
        <v>0</v>
      </c>
    </row>
    <row r="115">
      <c r="A115" s="10" t="inlineStr">
        <is>
          <t>蕉下</t>
        </is>
      </c>
      <c r="B115" s="10" t="n">
        <v>256901.47</v>
      </c>
      <c r="C115" s="10" t="n">
        <v>0</v>
      </c>
    </row>
    <row r="116">
      <c r="A116" s="10" t="inlineStr">
        <is>
          <t>城隍珠宝总汇</t>
        </is>
      </c>
      <c r="B116" s="10" t="n">
        <v>0</v>
      </c>
      <c r="C116" s="10" t="n">
        <v>0</v>
      </c>
    </row>
    <row r="117">
      <c r="A117" s="10" t="inlineStr">
        <is>
          <t>森马</t>
        </is>
      </c>
      <c r="B117" s="10" t="n">
        <v>349221.8</v>
      </c>
      <c r="C117" s="10" t="n">
        <v>0</v>
      </c>
    </row>
    <row r="118">
      <c r="A118" s="10" t="inlineStr">
        <is>
          <t>Peet's Coffee</t>
        </is>
      </c>
      <c r="B118" s="10" t="n">
        <v>194303</v>
      </c>
      <c r="C118" s="10" t="n">
        <v>0</v>
      </c>
    </row>
    <row r="119">
      <c r="A119" s="10" t="inlineStr">
        <is>
          <t>浪琴</t>
        </is>
      </c>
      <c r="B119" s="10" t="n">
        <v>485535</v>
      </c>
      <c r="C119" s="10" t="n">
        <v>51.42</v>
      </c>
    </row>
    <row r="120">
      <c r="A120" s="10" t="inlineStr">
        <is>
          <t>食其家(SUKIYA)</t>
        </is>
      </c>
      <c r="B120" s="10" t="n">
        <v>302055.37</v>
      </c>
      <c r="C120" s="10" t="n">
        <v>0</v>
      </c>
    </row>
    <row r="121">
      <c r="A121" s="10" t="inlineStr">
        <is>
          <t>周大生</t>
        </is>
      </c>
      <c r="B121" s="10" t="n">
        <v>0</v>
      </c>
      <c r="C121" s="10" t="n">
        <v>0</v>
      </c>
    </row>
    <row r="122">
      <c r="A122" s="10" t="inlineStr">
        <is>
          <t>西町村屋</t>
        </is>
      </c>
      <c r="B122" s="10" t="n">
        <v>319996.5</v>
      </c>
      <c r="C122" s="10" t="n">
        <v>0</v>
      </c>
    </row>
    <row r="123">
      <c r="A123" s="10" t="inlineStr">
        <is>
          <t>林清轩</t>
        </is>
      </c>
      <c r="B123" s="10" t="n">
        <v>229869.7</v>
      </c>
      <c r="C123" s="10" t="n">
        <v>0</v>
      </c>
    </row>
    <row r="124">
      <c r="A124" s="10" t="inlineStr">
        <is>
          <t>茉莉奶白</t>
        </is>
      </c>
      <c r="B124" s="10" t="n">
        <v>237933.23</v>
      </c>
      <c r="C124" s="10" t="n">
        <v>0</v>
      </c>
    </row>
    <row r="125">
      <c r="A125" s="10" t="inlineStr">
        <is>
          <t>阿玛施</t>
        </is>
      </c>
      <c r="B125" s="10" t="n">
        <v>239450</v>
      </c>
      <c r="C125" s="10" t="n">
        <v>0</v>
      </c>
    </row>
    <row r="126">
      <c r="A126" s="10" t="inlineStr">
        <is>
          <t>杂物社</t>
        </is>
      </c>
      <c r="B126" s="10" t="n">
        <v>326888.91</v>
      </c>
      <c r="C126" s="10" t="n">
        <v>0</v>
      </c>
    </row>
    <row r="127">
      <c r="A127" s="10" t="inlineStr">
        <is>
          <t>龍偶像LOX学院</t>
        </is>
      </c>
      <c r="B127" s="10" t="n">
        <v>123530</v>
      </c>
      <c r="C127" s="10" t="n">
        <v>0</v>
      </c>
    </row>
    <row r="128">
      <c r="A128" s="10" t="inlineStr">
        <is>
          <t>依茉朵</t>
        </is>
      </c>
      <c r="B128" s="10" t="n">
        <v>349228.89</v>
      </c>
      <c r="C128" s="10" t="n">
        <v>0</v>
      </c>
    </row>
    <row r="129">
      <c r="A129" s="10" t="inlineStr">
        <is>
          <t>捷蒲</t>
        </is>
      </c>
      <c r="B129" s="10" t="n">
        <v>241925.5</v>
      </c>
      <c r="C129" s="10" t="n">
        <v>0</v>
      </c>
    </row>
    <row r="130">
      <c r="A130" s="10" t="inlineStr">
        <is>
          <t>罗森</t>
        </is>
      </c>
      <c r="B130" s="10" t="n">
        <v>259682.12</v>
      </c>
      <c r="C130" s="10" t="n">
        <v>0</v>
      </c>
    </row>
    <row r="131">
      <c r="A131" s="10" t="inlineStr">
        <is>
          <t>果栗园</t>
        </is>
      </c>
      <c r="B131" s="10" t="n">
        <v>0</v>
      </c>
      <c r="C131" s="10" t="n">
        <v>0</v>
      </c>
    </row>
    <row r="132">
      <c r="A132" s="10" t="inlineStr">
        <is>
          <t>红宝石</t>
        </is>
      </c>
      <c r="B132" s="10" t="n">
        <v>246543.93</v>
      </c>
      <c r="C132" s="10" t="n">
        <v>0</v>
      </c>
    </row>
    <row r="133">
      <c r="A133" s="10" t="inlineStr">
        <is>
          <t>科大讯飞</t>
        </is>
      </c>
      <c r="B133" s="10" t="n">
        <v>192713</v>
      </c>
      <c r="C133" s="10" t="n">
        <v>1366.32</v>
      </c>
    </row>
    <row r="134">
      <c r="A134" s="10" t="inlineStr">
        <is>
          <t>野人先生</t>
        </is>
      </c>
      <c r="B134" s="10" t="n">
        <v>293384.49</v>
      </c>
      <c r="C134" s="10" t="n">
        <v>0</v>
      </c>
    </row>
    <row r="135">
      <c r="A135" s="10" t="inlineStr">
        <is>
          <t>泰兰尼斯</t>
        </is>
      </c>
      <c r="B135" s="10" t="n">
        <v>239953.2</v>
      </c>
      <c r="C135" s="10" t="n">
        <v>0</v>
      </c>
    </row>
    <row r="136">
      <c r="A136" s="10" t="inlineStr">
        <is>
          <t>泰柯茶园</t>
        </is>
      </c>
      <c r="B136" s="10" t="n">
        <v>0</v>
      </c>
      <c r="C136" s="10" t="n">
        <v>0</v>
      </c>
    </row>
    <row r="137">
      <c r="A137" s="10" t="inlineStr">
        <is>
          <t>太犇牛</t>
        </is>
      </c>
      <c r="B137" s="10" t="n">
        <v>0</v>
      </c>
      <c r="C137" s="10" t="n">
        <v>0</v>
      </c>
    </row>
    <row r="138">
      <c r="A138" s="10" t="inlineStr">
        <is>
          <t>伶俐</t>
        </is>
      </c>
      <c r="B138" s="10" t="n">
        <v>0</v>
      </c>
      <c r="C138" s="10" t="n">
        <v>0</v>
      </c>
    </row>
    <row r="139">
      <c r="A139" s="10" t="inlineStr">
        <is>
          <t>my body</t>
        </is>
      </c>
      <c r="B139" s="10" t="n">
        <v>248269.2</v>
      </c>
      <c r="C139" s="10" t="n">
        <v>0</v>
      </c>
    </row>
    <row r="140">
      <c r="A140" s="10" t="inlineStr">
        <is>
          <t>玩具反斗城(TOYSRUS)</t>
        </is>
      </c>
      <c r="B140" s="10" t="n">
        <v>315316.03</v>
      </c>
      <c r="C140" s="10" t="n">
        <v>0</v>
      </c>
    </row>
    <row r="141">
      <c r="A141" s="10" t="inlineStr">
        <is>
          <t>ABUN</t>
        </is>
      </c>
      <c r="B141" s="10" t="n">
        <v>272492.1</v>
      </c>
      <c r="C141" s="10" t="n">
        <v>0</v>
      </c>
    </row>
    <row r="142">
      <c r="A142" s="10" t="inlineStr">
        <is>
          <t>萱子</t>
        </is>
      </c>
      <c r="B142" s="10" t="n">
        <v>130748.19</v>
      </c>
      <c r="C142" s="10" t="n">
        <v>0</v>
      </c>
    </row>
    <row r="143">
      <c r="A143" s="10" t="inlineStr">
        <is>
          <t>精悦蓉</t>
        </is>
      </c>
      <c r="B143" s="10" t="n">
        <v>265643.1</v>
      </c>
      <c r="C143" s="10" t="n">
        <v>0</v>
      </c>
    </row>
    <row r="144">
      <c r="A144" s="10" t="inlineStr">
        <is>
          <t>CLMX</t>
        </is>
      </c>
      <c r="B144" s="10" t="n">
        <v>0</v>
      </c>
      <c r="C144" s="10" t="n">
        <v>0</v>
      </c>
    </row>
    <row r="145">
      <c r="A145" s="10" t="inlineStr">
        <is>
          <t>朴仁良心</t>
        </is>
      </c>
      <c r="B145" s="10" t="n">
        <v>0</v>
      </c>
      <c r="C145" s="10" t="n">
        <v>0</v>
      </c>
    </row>
    <row r="146">
      <c r="A146" s="10" t="inlineStr">
        <is>
          <t>江南布衣</t>
        </is>
      </c>
      <c r="B146" s="10" t="n">
        <v>0</v>
      </c>
      <c r="C146" s="10" t="n">
        <v>0</v>
      </c>
    </row>
    <row r="147">
      <c r="A147" s="10" t="inlineStr">
        <is>
          <t>THE MINGSI HOUSE</t>
        </is>
      </c>
      <c r="B147" s="10" t="n">
        <v>175868</v>
      </c>
      <c r="C147" s="10" t="n">
        <v>0</v>
      </c>
    </row>
    <row r="148">
      <c r="A148" s="10" t="inlineStr">
        <is>
          <t>KOI THE</t>
        </is>
      </c>
      <c r="B148" s="10" t="n">
        <v>199189.98</v>
      </c>
      <c r="C148" s="10" t="n">
        <v>500.05</v>
      </c>
    </row>
    <row r="149">
      <c r="A149" s="10" t="inlineStr">
        <is>
          <t>安踏</t>
        </is>
      </c>
      <c r="B149" s="10" t="n">
        <v>241123.4</v>
      </c>
      <c r="C149" s="10" t="n">
        <v>0</v>
      </c>
    </row>
    <row r="150">
      <c r="A150" s="10" t="inlineStr">
        <is>
          <t>美丽档案</t>
        </is>
      </c>
      <c r="B150" s="10" t="n">
        <v>172708</v>
      </c>
      <c r="C150" s="10" t="n">
        <v>0</v>
      </c>
    </row>
    <row r="151">
      <c r="A151" s="10" t="inlineStr">
        <is>
          <t>POLOWALK</t>
        </is>
      </c>
      <c r="B151" s="10" t="n">
        <v>188795</v>
      </c>
      <c r="C151" s="10" t="n">
        <v>0</v>
      </c>
    </row>
    <row r="152">
      <c r="A152" s="10" t="inlineStr">
        <is>
          <t>LACOSTE</t>
        </is>
      </c>
      <c r="B152" s="10" t="n">
        <v>0</v>
      </c>
      <c r="C152" s="10" t="n">
        <v>0</v>
      </c>
    </row>
    <row r="153">
      <c r="A153" s="10" t="inlineStr">
        <is>
          <t>三叶草</t>
        </is>
      </c>
      <c r="B153" s="10" t="n">
        <v>149694</v>
      </c>
      <c r="C153" s="10" t="n">
        <v>0</v>
      </c>
    </row>
    <row r="154">
      <c r="A154" s="10" t="inlineStr">
        <is>
          <t>沪食光</t>
        </is>
      </c>
      <c r="B154" s="10" t="n">
        <v>0</v>
      </c>
      <c r="C154" s="10" t="n">
        <v>0</v>
      </c>
    </row>
    <row r="155">
      <c r="A155" s="10" t="inlineStr">
        <is>
          <t>正烧记现捞卤味</t>
        </is>
      </c>
      <c r="B155" s="10" t="n">
        <v>0</v>
      </c>
      <c r="C155" s="10" t="n">
        <v>0</v>
      </c>
    </row>
    <row r="156">
      <c r="A156" s="10" t="inlineStr">
        <is>
          <t>THE NORTH FACE</t>
        </is>
      </c>
      <c r="B156" s="10" t="n">
        <v>301501</v>
      </c>
      <c r="C156" s="10" t="n">
        <v>0</v>
      </c>
    </row>
    <row r="157">
      <c r="A157" s="10" t="inlineStr">
        <is>
          <t>杰克琼斯(JACK&amp;JONES)</t>
        </is>
      </c>
      <c r="B157" s="10" t="n">
        <v>115152.41</v>
      </c>
      <c r="C157" s="10" t="n">
        <v>21320.32</v>
      </c>
    </row>
    <row r="158">
      <c r="A158" s="10" t="inlineStr">
        <is>
          <t>罗莱家纺(LUOLAI)</t>
        </is>
      </c>
      <c r="B158" s="10" t="n">
        <v>129298.1</v>
      </c>
      <c r="C158" s="10" t="n">
        <v>0</v>
      </c>
    </row>
    <row r="159">
      <c r="A159" s="10" t="inlineStr">
        <is>
          <t>瑞幸咖啡(luckin coffee)</t>
        </is>
      </c>
      <c r="B159" s="10" t="n">
        <v>313134.64</v>
      </c>
      <c r="C159" s="10" t="n">
        <v>0</v>
      </c>
    </row>
    <row r="160">
      <c r="A160" s="10" t="inlineStr">
        <is>
          <t>UNDER ARMOUR OUTDOOR</t>
        </is>
      </c>
      <c r="B160" s="10" t="n">
        <v>209455</v>
      </c>
      <c r="C160" s="10" t="n">
        <v>0</v>
      </c>
    </row>
    <row r="161">
      <c r="A161" s="10" t="inlineStr">
        <is>
          <t>nordic by nature VERO MODA</t>
        </is>
      </c>
      <c r="B161" s="10" t="n">
        <v>191222.51</v>
      </c>
      <c r="C161" s="10" t="n">
        <v>0</v>
      </c>
    </row>
    <row r="162">
      <c r="A162" s="10" t="inlineStr">
        <is>
          <t>欢囍花生</t>
        </is>
      </c>
      <c r="B162" s="10" t="n">
        <v>183126.85</v>
      </c>
      <c r="C162" s="10" t="n">
        <v>1650.17</v>
      </c>
    </row>
    <row r="163">
      <c r="A163" s="10" t="inlineStr">
        <is>
          <t>TREK&amp;TRAVEL</t>
        </is>
      </c>
      <c r="B163" s="10" t="n">
        <v>243157</v>
      </c>
      <c r="C163" s="10" t="n">
        <v>0</v>
      </c>
    </row>
    <row r="164">
      <c r="A164" s="10" t="inlineStr">
        <is>
          <t>百丽</t>
        </is>
      </c>
      <c r="B164" s="10" t="n">
        <v>155853.24</v>
      </c>
      <c r="C164" s="10" t="n">
        <v>0</v>
      </c>
    </row>
    <row r="165">
      <c r="A165" s="10" t="inlineStr">
        <is>
          <t>来伊份</t>
        </is>
      </c>
      <c r="B165" s="10" t="n">
        <v>0</v>
      </c>
      <c r="C165" s="10" t="n">
        <v>0</v>
      </c>
    </row>
    <row r="166">
      <c r="A166" s="10" t="inlineStr">
        <is>
          <t>就是柠</t>
        </is>
      </c>
      <c r="B166" s="10" t="n">
        <v>182432</v>
      </c>
      <c r="C166" s="10" t="n">
        <v>0</v>
      </c>
    </row>
    <row r="167">
      <c r="A167" s="10" t="inlineStr">
        <is>
          <t>巴拉巴拉</t>
        </is>
      </c>
      <c r="B167" s="10" t="n">
        <v>304679.8</v>
      </c>
      <c r="C167" s="10" t="n">
        <v>0</v>
      </c>
    </row>
    <row r="168">
      <c r="A168" s="10" t="inlineStr">
        <is>
          <t>瑞幸咖啡</t>
        </is>
      </c>
      <c r="B168" s="10" t="n">
        <v>0</v>
      </c>
      <c r="C168" s="10" t="n">
        <v>0</v>
      </c>
    </row>
    <row r="169">
      <c r="A169" s="10" t="inlineStr">
        <is>
          <t>LEGO</t>
        </is>
      </c>
      <c r="B169" s="10" t="n">
        <v>240104</v>
      </c>
      <c r="C169" s="10" t="n">
        <v>0</v>
      </c>
    </row>
    <row r="170">
      <c r="A170" s="10" t="inlineStr">
        <is>
          <t>小狮达</t>
        </is>
      </c>
      <c r="B170" s="10" t="n">
        <v>0</v>
      </c>
      <c r="C170" s="10" t="n">
        <v>0</v>
      </c>
    </row>
    <row r="171">
      <c r="A171" s="10" t="inlineStr">
        <is>
          <t>PEACEBIRD</t>
        </is>
      </c>
      <c r="B171" s="10" t="n">
        <v>112668.1</v>
      </c>
      <c r="C171" s="10" t="n">
        <v>0</v>
      </c>
    </row>
    <row r="172">
      <c r="A172" s="10" t="inlineStr">
        <is>
          <t>斯凯奇</t>
        </is>
      </c>
      <c r="B172" s="10" t="n">
        <v>166501.3</v>
      </c>
      <c r="C172" s="10" t="n">
        <v>0</v>
      </c>
    </row>
    <row r="173">
      <c r="A173" s="10" t="inlineStr">
        <is>
          <t>宋朝</t>
        </is>
      </c>
      <c r="B173" s="10" t="n">
        <v>144014</v>
      </c>
      <c r="C173" s="10" t="n">
        <v>1186.73</v>
      </c>
    </row>
    <row r="174">
      <c r="A174" s="10" t="inlineStr">
        <is>
          <t>花西子</t>
        </is>
      </c>
      <c r="B174" s="10" t="n">
        <v>0</v>
      </c>
      <c r="C174" s="10" t="n">
        <v>0</v>
      </c>
    </row>
    <row r="175">
      <c r="A175" s="10" t="inlineStr">
        <is>
          <t>TOP TOY</t>
        </is>
      </c>
      <c r="B175" s="10" t="n">
        <v>339579.3</v>
      </c>
      <c r="C175" s="10" t="n">
        <v>0</v>
      </c>
    </row>
    <row r="176">
      <c r="A176" s="10" t="inlineStr">
        <is>
          <t>雅柔</t>
        </is>
      </c>
      <c r="B176" s="10" t="n">
        <v>126590</v>
      </c>
      <c r="C176" s="10" t="n">
        <v>0</v>
      </c>
    </row>
    <row r="177">
      <c r="A177" s="10" t="inlineStr">
        <is>
          <t>金至尊</t>
        </is>
      </c>
      <c r="B177" s="10" t="n">
        <v>0</v>
      </c>
      <c r="C177" s="10" t="n">
        <v>0</v>
      </c>
    </row>
    <row r="178">
      <c r="A178" s="10" t="inlineStr">
        <is>
          <t>眼镜生活</t>
        </is>
      </c>
      <c r="B178" s="10" t="n">
        <v>176494.44</v>
      </c>
      <c r="C178" s="10" t="n">
        <v>0</v>
      </c>
    </row>
    <row r="179">
      <c r="A179" s="10" t="inlineStr">
        <is>
          <t>adidas</t>
        </is>
      </c>
      <c r="B179" s="10" t="n">
        <v>81614</v>
      </c>
      <c r="C179" s="10" t="n">
        <v>0</v>
      </c>
    </row>
    <row r="180">
      <c r="A180" s="10" t="inlineStr">
        <is>
          <t>LINLEE</t>
        </is>
      </c>
      <c r="B180" s="10" t="n">
        <v>201732.9</v>
      </c>
      <c r="C180" s="10" t="n">
        <v>3187.17</v>
      </c>
    </row>
    <row r="181">
      <c r="A181" s="10" t="inlineStr">
        <is>
          <t>乐乐茶</t>
        </is>
      </c>
      <c r="B181" s="10" t="n">
        <v>0</v>
      </c>
      <c r="C181" s="10" t="n">
        <v>0</v>
      </c>
    </row>
    <row r="182">
      <c r="A182" s="10" t="inlineStr">
        <is>
          <t>Dairy Queen</t>
        </is>
      </c>
      <c r="B182" s="10" t="n">
        <v>108261.32</v>
      </c>
      <c r="C182" s="10" t="n">
        <v>0</v>
      </c>
    </row>
    <row r="183">
      <c r="A183" s="10" t="inlineStr">
        <is>
          <t>Y&amp;S  PILATES</t>
        </is>
      </c>
      <c r="B183" s="10" t="n">
        <v>207792</v>
      </c>
      <c r="C183" s="10" t="n">
        <v>0</v>
      </c>
    </row>
    <row r="184">
      <c r="A184" s="10" t="inlineStr">
        <is>
          <t>玛米玛卡</t>
        </is>
      </c>
      <c r="B184" s="10" t="n">
        <v>124120.51</v>
      </c>
      <c r="C184" s="10" t="n">
        <v>0</v>
      </c>
    </row>
    <row r="185">
      <c r="A185" s="10" t="inlineStr">
        <is>
          <t>奥莉</t>
        </is>
      </c>
      <c r="B185" s="10" t="n">
        <v>145741.64</v>
      </c>
      <c r="C185" s="10" t="n">
        <v>0</v>
      </c>
    </row>
    <row r="186">
      <c r="A186" s="10" t="inlineStr">
        <is>
          <t>鮨人</t>
        </is>
      </c>
      <c r="B186" s="10" t="n">
        <v>280532.08</v>
      </c>
      <c r="C186" s="10" t="n">
        <v>19564.39</v>
      </c>
    </row>
    <row r="187">
      <c r="A187" s="10" t="inlineStr">
        <is>
          <t>小棉大作</t>
        </is>
      </c>
      <c r="B187" s="10" t="n">
        <v>123641.97</v>
      </c>
      <c r="C187" s="10" t="n">
        <v>0</v>
      </c>
    </row>
    <row r="188">
      <c r="A188" s="10" t="inlineStr">
        <is>
          <t>哥弟</t>
        </is>
      </c>
      <c r="B188" s="10" t="n">
        <v>168204</v>
      </c>
      <c r="C188" s="10" t="n">
        <v>0</v>
      </c>
    </row>
    <row r="189">
      <c r="A189" s="10" t="inlineStr">
        <is>
          <t>暴龙</t>
        </is>
      </c>
      <c r="B189" s="10" t="n">
        <v>106978.9</v>
      </c>
      <c r="C189" s="10" t="n">
        <v>0</v>
      </c>
    </row>
    <row r="190">
      <c r="A190" s="10" t="inlineStr">
        <is>
          <t>LEVI'S</t>
        </is>
      </c>
      <c r="B190" s="10" t="n">
        <v>91962</v>
      </c>
      <c r="C190" s="10" t="n">
        <v>0</v>
      </c>
    </row>
    <row r="191">
      <c r="A191" s="10" t="inlineStr">
        <is>
          <t>超级史莱姆魔法星球</t>
        </is>
      </c>
      <c r="B191" s="10" t="n">
        <v>0</v>
      </c>
      <c r="C191" s="10" t="n">
        <v>0</v>
      </c>
    </row>
    <row r="192">
      <c r="A192" s="10" t="inlineStr">
        <is>
          <t>anta kids</t>
        </is>
      </c>
      <c r="B192" s="10" t="n">
        <v>126519.26</v>
      </c>
      <c r="C192" s="10" t="n">
        <v>0</v>
      </c>
    </row>
    <row r="193">
      <c r="A193" s="10" t="inlineStr">
        <is>
          <t>迪卡轩</t>
        </is>
      </c>
      <c r="B193" s="10" t="n">
        <v>168895</v>
      </c>
      <c r="C193" s="10" t="n">
        <v>0</v>
      </c>
    </row>
    <row r="194">
      <c r="A194" s="10" t="inlineStr">
        <is>
          <t>满巍明</t>
        </is>
      </c>
      <c r="B194" s="10" t="n">
        <v>169039.13</v>
      </c>
      <c r="C194" s="10" t="n">
        <v>0</v>
      </c>
    </row>
    <row r="195">
      <c r="A195" s="10" t="inlineStr">
        <is>
          <t>派悦坊</t>
        </is>
      </c>
      <c r="B195" s="10" t="n">
        <v>0</v>
      </c>
      <c r="C195" s="10" t="n">
        <v>0</v>
      </c>
    </row>
    <row r="196">
      <c r="A196" s="10" t="inlineStr">
        <is>
          <t>小天才</t>
        </is>
      </c>
      <c r="B196" s="10" t="n">
        <v>137664.3</v>
      </c>
      <c r="C196" s="10" t="n">
        <v>0</v>
      </c>
    </row>
    <row r="197">
      <c r="A197" s="10" t="inlineStr">
        <is>
          <t>恐龙爱迪</t>
        </is>
      </c>
      <c r="B197" s="10" t="n">
        <v>165730.2</v>
      </c>
      <c r="C197" s="10" t="n">
        <v>0</v>
      </c>
    </row>
    <row r="198">
      <c r="A198" s="10" t="inlineStr">
        <is>
          <t>东方墨蘭</t>
        </is>
      </c>
      <c r="B198" s="10" t="n">
        <v>0</v>
      </c>
      <c r="C198" s="10" t="n">
        <v>0</v>
      </c>
    </row>
    <row r="199">
      <c r="A199" s="10" t="inlineStr">
        <is>
          <t>煲珠公</t>
        </is>
      </c>
      <c r="B199" s="10" t="n">
        <v>134087.55</v>
      </c>
      <c r="C199" s="10" t="n">
        <v>0</v>
      </c>
    </row>
    <row r="200">
      <c r="A200" s="10" t="inlineStr">
        <is>
          <t>米陀饭团</t>
        </is>
      </c>
      <c r="B200" s="10" t="n">
        <v>0</v>
      </c>
      <c r="C200" s="10" t="n">
        <v>0</v>
      </c>
    </row>
    <row r="201">
      <c r="A201" s="10" t="inlineStr">
        <is>
          <t>艾特里里</t>
        </is>
      </c>
      <c r="B201" s="10" t="n">
        <v>0</v>
      </c>
      <c r="C201" s="10" t="n">
        <v>0</v>
      </c>
    </row>
    <row r="202">
      <c r="A202" s="10" t="inlineStr">
        <is>
          <t>爱畅享(isharing)</t>
        </is>
      </c>
      <c r="B202" s="10" t="n">
        <v>109758.9</v>
      </c>
      <c r="C202" s="10" t="n">
        <v>0</v>
      </c>
    </row>
    <row r="203">
      <c r="A203" s="10" t="inlineStr">
        <is>
          <t>长风</t>
        </is>
      </c>
      <c r="B203" s="10" t="n">
        <v>0</v>
      </c>
      <c r="C203" s="10" t="n">
        <v>0</v>
      </c>
    </row>
    <row r="204">
      <c r="A204" s="10" t="inlineStr">
        <is>
          <t>茶救星球</t>
        </is>
      </c>
      <c r="B204" s="10" t="n">
        <v>0</v>
      </c>
      <c r="C204" s="10" t="n">
        <v>0</v>
      </c>
    </row>
    <row r="205">
      <c r="A205" s="10" t="inlineStr">
        <is>
          <t>唐捌久</t>
        </is>
      </c>
      <c r="B205" s="10" t="n">
        <v>0</v>
      </c>
      <c r="C205" s="10" t="n">
        <v>0</v>
      </c>
    </row>
    <row r="206">
      <c r="A206" s="10" t="inlineStr">
        <is>
          <t>伯希和</t>
        </is>
      </c>
      <c r="B206" s="10" t="n">
        <v>0</v>
      </c>
      <c r="C206" s="10" t="n">
        <v>0</v>
      </c>
    </row>
    <row r="207">
      <c r="A207" s="10" t="inlineStr">
        <is>
          <t>Apple Car</t>
        </is>
      </c>
      <c r="B207" s="10" t="n">
        <v>41485</v>
      </c>
      <c r="C207" s="10" t="n">
        <v>0</v>
      </c>
    </row>
    <row r="208">
      <c r="A208" s="10" t="inlineStr">
        <is>
          <t>吴良材</t>
        </is>
      </c>
      <c r="B208" s="10" t="n">
        <v>75055.8</v>
      </c>
      <c r="C208" s="10" t="n">
        <v>0</v>
      </c>
    </row>
    <row r="209">
      <c r="A209" s="10" t="inlineStr">
        <is>
          <t>VQ</t>
        </is>
      </c>
      <c r="B209" s="10" t="n">
        <v>104037.18</v>
      </c>
      <c r="C209" s="10" t="n">
        <v>0</v>
      </c>
    </row>
    <row r="210">
      <c r="A210" s="10" t="inlineStr">
        <is>
          <t>木九十</t>
        </is>
      </c>
      <c r="B210" s="10" t="n">
        <v>71612</v>
      </c>
      <c r="C210" s="10" t="n">
        <v>0</v>
      </c>
    </row>
    <row r="211">
      <c r="A211" s="10" t="inlineStr">
        <is>
          <t>牵绳记</t>
        </is>
      </c>
      <c r="B211" s="10" t="n">
        <v>131338</v>
      </c>
      <c r="C211" s="10" t="n">
        <v>0</v>
      </c>
    </row>
    <row r="212">
      <c r="A212" s="10" t="inlineStr">
        <is>
          <t>Calvin Klein</t>
        </is>
      </c>
      <c r="B212" s="10" t="n">
        <v>110147.8</v>
      </c>
      <c r="C212" s="10" t="n">
        <v>12722.07</v>
      </c>
    </row>
    <row r="213">
      <c r="A213" s="10" t="inlineStr">
        <is>
          <t>作业帮</t>
        </is>
      </c>
      <c r="B213" s="10" t="n">
        <v>0</v>
      </c>
      <c r="C213" s="10" t="n">
        <v>0</v>
      </c>
    </row>
    <row r="214">
      <c r="A214" s="10" t="inlineStr">
        <is>
          <t>匡朵</t>
        </is>
      </c>
      <c r="B214" s="10" t="n">
        <v>87469.89</v>
      </c>
      <c r="C214" s="10" t="n">
        <v>0</v>
      </c>
    </row>
    <row r="215">
      <c r="A215" s="10" t="inlineStr">
        <is>
          <t>安莉芳</t>
        </is>
      </c>
      <c r="B215" s="10" t="n">
        <v>72436</v>
      </c>
      <c r="C215" s="10" t="n">
        <v>0</v>
      </c>
    </row>
    <row r="216">
      <c r="A216" s="10" t="inlineStr">
        <is>
          <t>宫廷铭匠</t>
        </is>
      </c>
      <c r="B216" s="10" t="n">
        <v>0</v>
      </c>
      <c r="C216" s="10" t="n">
        <v>0</v>
      </c>
    </row>
    <row r="217">
      <c r="A217" s="10" t="inlineStr">
        <is>
          <t>优品客</t>
        </is>
      </c>
      <c r="B217" s="10" t="n">
        <v>124878</v>
      </c>
      <c r="C217" s="10" t="n">
        <v>0</v>
      </c>
    </row>
    <row r="218">
      <c r="A218" s="10" t="inlineStr">
        <is>
          <t>亲宝宝</t>
        </is>
      </c>
      <c r="B218" s="10" t="n">
        <v>0</v>
      </c>
      <c r="C218" s="10" t="n">
        <v>0</v>
      </c>
    </row>
    <row r="219">
      <c r="A219" s="10" t="inlineStr">
        <is>
          <t>特步</t>
        </is>
      </c>
      <c r="B219" s="10" t="n">
        <v>98750.39999999999</v>
      </c>
      <c r="C219" s="10" t="n">
        <v>0</v>
      </c>
    </row>
    <row r="220">
      <c r="A220" s="10" t="inlineStr">
        <is>
          <t>ASICS KIDS</t>
        </is>
      </c>
      <c r="B220" s="10" t="n">
        <v>45302</v>
      </c>
      <c r="C220" s="10" t="n">
        <v>0</v>
      </c>
    </row>
    <row r="221">
      <c r="A221" s="10" t="inlineStr">
        <is>
          <t>淘气妙</t>
        </is>
      </c>
      <c r="B221" s="10" t="n">
        <v>67522</v>
      </c>
      <c r="C221" s="10" t="n">
        <v>0</v>
      </c>
    </row>
    <row r="222">
      <c r="A222" s="10" t="inlineStr">
        <is>
          <t>曼都</t>
        </is>
      </c>
      <c r="B222" s="10" t="n">
        <v>179380.41</v>
      </c>
      <c r="C222" s="10" t="n">
        <v>0</v>
      </c>
    </row>
    <row r="223">
      <c r="A223" s="10" t="inlineStr">
        <is>
          <t>恋仁怪兽</t>
        </is>
      </c>
      <c r="B223" s="10" t="n">
        <v>0</v>
      </c>
      <c r="C223" s="10" t="n">
        <v>0</v>
      </c>
    </row>
    <row r="224">
      <c r="A224" s="10" t="inlineStr">
        <is>
          <t>Mini Peace</t>
        </is>
      </c>
      <c r="B224" s="10" t="n">
        <v>93146.2</v>
      </c>
      <c r="C224" s="10" t="n">
        <v>0</v>
      </c>
    </row>
    <row r="225">
      <c r="A225" s="10" t="inlineStr">
        <is>
          <t>谭木匠</t>
        </is>
      </c>
      <c r="B225" s="10" t="n">
        <v>0</v>
      </c>
      <c r="C225" s="10" t="n">
        <v>0</v>
      </c>
    </row>
    <row r="226">
      <c r="A226" s="10" t="inlineStr">
        <is>
          <t>茉沏</t>
        </is>
      </c>
      <c r="B226" s="10" t="n">
        <v>195439.11</v>
      </c>
      <c r="C226" s="10" t="n">
        <v>0</v>
      </c>
    </row>
    <row r="227">
      <c r="A227" s="10" t="inlineStr">
        <is>
          <t>探拓</t>
        </is>
      </c>
      <c r="B227" s="10" t="n">
        <v>60509</v>
      </c>
      <c r="C227" s="10" t="n">
        <v>0</v>
      </c>
    </row>
    <row r="228">
      <c r="A228" s="10" t="inlineStr">
        <is>
          <t>追觅</t>
        </is>
      </c>
      <c r="B228" s="10" t="n">
        <v>27069.85</v>
      </c>
      <c r="C228" s="10" t="n">
        <v>0</v>
      </c>
    </row>
    <row r="229">
      <c r="A229" s="10" t="inlineStr">
        <is>
          <t>PHOTOMI</t>
        </is>
      </c>
      <c r="B229" s="10" t="n">
        <v>0</v>
      </c>
      <c r="C229" s="10" t="n">
        <v>0</v>
      </c>
    </row>
    <row r="230">
      <c r="A230" s="10" t="inlineStr">
        <is>
          <t>拾光星球</t>
        </is>
      </c>
      <c r="B230" s="10" t="n">
        <v>174052</v>
      </c>
      <c r="C230" s="10" t="n">
        <v>0</v>
      </c>
    </row>
    <row r="231">
      <c r="A231" s="10" t="inlineStr">
        <is>
          <t>Skechers Kids</t>
        </is>
      </c>
      <c r="B231" s="10" t="n">
        <v>77702</v>
      </c>
      <c r="C231" s="10" t="n">
        <v>0</v>
      </c>
    </row>
    <row r="232">
      <c r="A232" s="10" t="inlineStr">
        <is>
          <t>西塔星球</t>
        </is>
      </c>
      <c r="B232" s="10" t="n">
        <v>67175.7</v>
      </c>
      <c r="C232" s="10" t="n">
        <v>0</v>
      </c>
    </row>
    <row r="233">
      <c r="A233" s="10" t="inlineStr">
        <is>
          <t>Champion</t>
        </is>
      </c>
      <c r="B233" s="10" t="n">
        <v>96099</v>
      </c>
      <c r="C233" s="10" t="n">
        <v>0</v>
      </c>
    </row>
    <row r="234">
      <c r="A234" s="10" t="inlineStr">
        <is>
          <t>奥特曼小火车</t>
        </is>
      </c>
      <c r="B234" s="10" t="n">
        <v>0</v>
      </c>
      <c r="C234" s="10" t="n">
        <v>0</v>
      </c>
    </row>
    <row r="235">
      <c r="A235" s="10" t="inlineStr">
        <is>
          <t>欧莱雅</t>
        </is>
      </c>
      <c r="B235" s="10" t="n">
        <v>52773.5</v>
      </c>
      <c r="C235" s="10" t="n">
        <v>0</v>
      </c>
    </row>
    <row r="236">
      <c r="A236" s="10" t="inlineStr">
        <is>
          <t>Mirabell</t>
        </is>
      </c>
      <c r="B236" s="10" t="n">
        <v>0</v>
      </c>
      <c r="C236" s="10" t="n">
        <v>0</v>
      </c>
    </row>
    <row r="237">
      <c r="A237" s="10" t="inlineStr">
        <is>
          <t>糖小满</t>
        </is>
      </c>
      <c r="B237" s="10" t="n">
        <v>52159.4</v>
      </c>
      <c r="C237" s="10" t="n">
        <v>0</v>
      </c>
    </row>
    <row r="238">
      <c r="A238" s="10" t="inlineStr">
        <is>
          <t>亨得利</t>
        </is>
      </c>
      <c r="B238" s="10" t="n">
        <v>0</v>
      </c>
      <c r="C238" s="10" t="n">
        <v>0</v>
      </c>
    </row>
    <row r="239">
      <c r="A239" s="10" t="inlineStr">
        <is>
          <t>悦刻</t>
        </is>
      </c>
      <c r="B239" s="10" t="n">
        <v>0</v>
      </c>
      <c r="C239" s="10" t="n">
        <v>0</v>
      </c>
    </row>
    <row r="240">
      <c r="A240" s="10" t="inlineStr">
        <is>
          <t>戴维贝拉</t>
        </is>
      </c>
      <c r="B240" s="10" t="n">
        <v>41864</v>
      </c>
      <c r="C240" s="10" t="n">
        <v>0</v>
      </c>
    </row>
    <row r="241">
      <c r="A241" s="10" t="inlineStr">
        <is>
          <t>学而思</t>
        </is>
      </c>
      <c r="B241" s="10" t="n">
        <v>0</v>
      </c>
      <c r="C241" s="10" t="n">
        <v>0</v>
      </c>
    </row>
    <row r="242">
      <c r="A242" s="10" t="inlineStr">
        <is>
          <t>恰同学</t>
        </is>
      </c>
      <c r="B242" s="10" t="n">
        <v>0</v>
      </c>
      <c r="C242" s="10" t="n">
        <v>0</v>
      </c>
    </row>
    <row r="243">
      <c r="A243" s="10" t="inlineStr">
        <is>
          <t>乐贴</t>
        </is>
      </c>
      <c r="B243" s="10" t="n">
        <v>57233.91</v>
      </c>
      <c r="C243" s="10" t="n">
        <v>0</v>
      </c>
    </row>
    <row r="244">
      <c r="A244" s="10" t="inlineStr">
        <is>
          <t>九尾狐</t>
        </is>
      </c>
      <c r="B244" s="10" t="n">
        <v>0</v>
      </c>
      <c r="C244" s="10" t="n">
        <v>0</v>
      </c>
    </row>
    <row r="245">
      <c r="A245" s="10" t="inlineStr">
        <is>
          <t>瑞多</t>
        </is>
      </c>
      <c r="B245" s="10" t="n">
        <v>0</v>
      </c>
      <c r="C245" s="10" t="n">
        <v>0</v>
      </c>
    </row>
    <row r="246">
      <c r="A246" s="10" t="inlineStr">
        <is>
          <t>CASIO</t>
        </is>
      </c>
      <c r="B246" s="10" t="n">
        <v>38928</v>
      </c>
      <c r="C246" s="10" t="n">
        <v>0</v>
      </c>
    </row>
    <row r="247">
      <c r="A247" s="10" t="inlineStr">
        <is>
          <t>未来站</t>
        </is>
      </c>
      <c r="B247" s="10" t="n">
        <v>0</v>
      </c>
      <c r="C247" s="10" t="n">
        <v>0</v>
      </c>
    </row>
    <row r="248">
      <c r="A248" s="10" t="inlineStr">
        <is>
          <t>德罗心</t>
        </is>
      </c>
      <c r="B248" s="10" t="n">
        <v>0</v>
      </c>
      <c r="C248" s="10" t="n">
        <v>0</v>
      </c>
    </row>
    <row r="249">
      <c r="A249" s="10" t="inlineStr">
        <is>
          <t>乐刻</t>
        </is>
      </c>
      <c r="B249" s="10" t="n">
        <v>96428.28999999999</v>
      </c>
      <c r="C249" s="10" t="n">
        <v>0</v>
      </c>
    </row>
    <row r="250">
      <c r="A250" s="10" t="inlineStr">
        <is>
          <t>FELICIA</t>
        </is>
      </c>
      <c r="B250" s="10" t="n">
        <v>0</v>
      </c>
      <c r="C250" s="10" t="n">
        <v>0</v>
      </c>
    </row>
    <row r="251">
      <c r="A251" s="10" t="inlineStr">
        <is>
          <t>不二同学</t>
        </is>
      </c>
      <c r="B251" s="10" t="n">
        <v>207729.16</v>
      </c>
      <c r="C251" s="10" t="n">
        <v>0</v>
      </c>
    </row>
    <row r="252">
      <c r="A252" s="10" t="inlineStr">
        <is>
          <t>光铄童心</t>
        </is>
      </c>
      <c r="B252" s="10" t="n">
        <v>0</v>
      </c>
      <c r="C252" s="10" t="n">
        <v>0</v>
      </c>
    </row>
    <row r="253">
      <c r="A253" s="10" t="inlineStr">
        <is>
          <t>EEKA M CLUB</t>
        </is>
      </c>
      <c r="B253" s="10" t="n">
        <v>0</v>
      </c>
      <c r="C253" s="10" t="n">
        <v>0</v>
      </c>
    </row>
    <row r="254">
      <c r="A254" s="10" t="inlineStr">
        <is>
          <t>诺安蔻</t>
        </is>
      </c>
      <c r="B254" s="10" t="n">
        <v>0</v>
      </c>
      <c r="C254" s="10" t="n">
        <v>0</v>
      </c>
    </row>
    <row r="255">
      <c r="A255" s="10" t="inlineStr">
        <is>
          <t>爷爷不泡茶</t>
        </is>
      </c>
      <c r="B255" s="10" t="n">
        <v>0</v>
      </c>
      <c r="C255" s="10" t="n">
        <v>0</v>
      </c>
    </row>
    <row r="256">
      <c r="A256" s="10" t="inlineStr">
        <is>
          <t>魔法之约</t>
        </is>
      </c>
      <c r="B256" s="10" t="n">
        <v>31257</v>
      </c>
      <c r="C256" s="10" t="n">
        <v>0</v>
      </c>
    </row>
    <row r="257">
      <c r="A257" s="10" t="inlineStr">
        <is>
          <t>图唯塔</t>
        </is>
      </c>
      <c r="B257" s="10" t="n">
        <v>47481.32</v>
      </c>
      <c r="C257" s="10" t="n">
        <v>0</v>
      </c>
    </row>
    <row r="258">
      <c r="A258" s="10" t="inlineStr">
        <is>
          <t>另茶</t>
        </is>
      </c>
      <c r="B258" s="10" t="n">
        <v>0</v>
      </c>
      <c r="C258" s="10" t="n">
        <v>0</v>
      </c>
    </row>
    <row r="259">
      <c r="A259" s="10" t="inlineStr">
        <is>
          <t>贝佳颜</t>
        </is>
      </c>
      <c r="B259" s="10" t="n">
        <v>1714</v>
      </c>
      <c r="C259" s="10" t="n">
        <v>0</v>
      </c>
    </row>
    <row r="260">
      <c r="A260" s="10" t="inlineStr">
        <is>
          <t>梧桐姥姥</t>
        </is>
      </c>
      <c r="B260" s="10" t="n">
        <v>0</v>
      </c>
      <c r="C260" s="10" t="n">
        <v>0</v>
      </c>
    </row>
    <row r="261">
      <c r="A261" s="10" t="inlineStr">
        <is>
          <t>CGX</t>
        </is>
      </c>
      <c r="B261" s="10" t="n">
        <v>0</v>
      </c>
      <c r="C261" s="10" t="n">
        <v>0</v>
      </c>
    </row>
    <row r="262">
      <c r="A262" s="10" t="inlineStr">
        <is>
          <t>理想</t>
        </is>
      </c>
      <c r="B262" s="10" t="n">
        <v>0</v>
      </c>
      <c r="C262" s="10" t="n">
        <v>0</v>
      </c>
    </row>
    <row r="263">
      <c r="A263" s="10" t="inlineStr">
        <is>
          <t>滨寿司(HAMASUSHI)</t>
        </is>
      </c>
      <c r="B263" s="10" t="n">
        <v>941721.38</v>
      </c>
      <c r="C263" s="10" t="n">
        <v>18166.9</v>
      </c>
    </row>
    <row r="264">
      <c r="A264" s="10" t="inlineStr">
        <is>
          <t>极氪(ZEEKR)</t>
        </is>
      </c>
      <c r="B264" s="10" t="n">
        <v>0</v>
      </c>
      <c r="C264" s="10" t="n">
        <v>0</v>
      </c>
    </row>
    <row r="265">
      <c r="A265" s="10" t="inlineStr">
        <is>
          <t>小罐茶</t>
        </is>
      </c>
      <c r="B265" s="10" t="n">
        <v>0</v>
      </c>
      <c r="C265" s="10" t="n">
        <v>0</v>
      </c>
    </row>
    <row r="266">
      <c r="A266" s="10" t="inlineStr">
        <is>
          <t>萨莱伊</t>
        </is>
      </c>
      <c r="B266" s="10" t="n">
        <v>91883</v>
      </c>
      <c r="C266" s="10" t="n">
        <v>0</v>
      </c>
    </row>
    <row r="267">
      <c r="A267" s="10" t="inlineStr">
        <is>
          <t>乐道</t>
        </is>
      </c>
      <c r="B267" s="10" t="n">
        <v>0</v>
      </c>
      <c r="C267" s="10" t="n">
        <v>0</v>
      </c>
    </row>
    <row r="268">
      <c r="A268" s="10" t="inlineStr">
        <is>
          <t>蔚来</t>
        </is>
      </c>
      <c r="B268" s="10" t="n">
        <v>0</v>
      </c>
      <c r="C26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2026-10-16T02:05:07Z</dcterms:created>
  <dcterms:modified xmlns:dcterms="http://purl.org/dc/terms/" xmlns:xsi="http://www.w3.org/2001/XMLSchema-instance" xsi:type="dcterms:W3CDTF">2026-10-16T02:05:07Z</dcterms:modified>
</cp:coreProperties>
</file>